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exy3\Desktop\"/>
    </mc:Choice>
  </mc:AlternateContent>
  <xr:revisionPtr revIDLastSave="0" documentId="13_ncr:1_{2813BB2E-ED17-4035-B1B5-82F2C161FAC6}" xr6:coauthVersionLast="47" xr6:coauthVersionMax="47" xr10:uidLastSave="{00000000-0000-0000-0000-000000000000}"/>
  <bookViews>
    <workbookView xWindow="25490" yWindow="-5690" windowWidth="38620" windowHeight="21100" tabRatio="442" firstSheet="1" activeTab="5" xr2:uid="{71E09476-3836-4358-A9EF-708400983292}"/>
  </bookViews>
  <sheets>
    <sheet name="고정일" sheetId="1" r:id="rId1"/>
    <sheet name="용차정보" sheetId="3" r:id="rId2"/>
    <sheet name="CJ군납" sheetId="4" r:id="rId3"/>
    <sheet name="지급대장" sheetId="2" r:id="rId4"/>
    <sheet name="기사정보관리" sheetId="5" r:id="rId5"/>
    <sheet name="Sheet1" sheetId="6" r:id="rId6"/>
  </sheets>
  <definedNames>
    <definedName name="_xlnm._FilterDatabase" localSheetId="2" hidden="1">CJ군납!$A$1:$K$1</definedName>
    <definedName name="_xlnm._FilterDatabase" localSheetId="0" hidden="1">고정일!$A$1:$AJ$40</definedName>
    <definedName name="_xlnm._FilterDatabase" localSheetId="1" hidden="1">용차정보!$A$1:$J$211</definedName>
    <definedName name="_xlnm._FilterDatabase" localSheetId="3" hidden="1">지급대장!$A$1:$J$39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6" l="1" a="1"/>
  <c r="S8" i="6" s="1"/>
  <c r="M6" i="6" a="1"/>
  <c r="S13" i="6" a="1"/>
  <c r="Q13" i="6" a="1"/>
  <c r="O13" i="6" a="1"/>
  <c r="S12" i="6" a="1"/>
  <c r="Q12" i="6" a="1"/>
  <c r="O12" i="6" a="1"/>
  <c r="S11" i="6" a="1"/>
  <c r="Q11" i="6" a="1"/>
  <c r="O11" i="6" a="1"/>
  <c r="S10" i="6" a="1"/>
  <c r="Q10" i="6" a="1"/>
  <c r="O10" i="6" a="1"/>
  <c r="S9" i="6" a="1"/>
  <c r="Q9" i="6" a="1"/>
  <c r="O9" i="6" a="1"/>
  <c r="Q8" i="6" a="1"/>
  <c r="O8" i="6" a="1"/>
  <c r="T6" i="6" a="1"/>
  <c r="S6" i="6" a="1"/>
  <c r="Q6" i="6" a="1"/>
  <c r="O6" i="6" a="1"/>
  <c r="L6" i="5"/>
  <c r="H7" i="5" a="1"/>
  <c r="H8" i="5" a="1"/>
  <c r="H9" i="5" a="1"/>
  <c r="H11" i="5" a="1"/>
  <c r="I11" i="5" a="1"/>
  <c r="H12" i="5" a="1"/>
  <c r="I12" i="5" a="1"/>
  <c r="H13" i="5" a="1"/>
  <c r="I13" i="5" a="1"/>
  <c r="H14" i="5" a="1"/>
  <c r="I14" i="5" a="1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H15" i="5" s="1" a="1"/>
  <c r="G24" i="4"/>
  <c r="G23" i="4"/>
  <c r="G22" i="4"/>
  <c r="G21" i="4"/>
  <c r="G20" i="4"/>
  <c r="G19" i="4"/>
  <c r="G18" i="4"/>
  <c r="G17" i="4"/>
  <c r="D24" i="4"/>
  <c r="E23" i="4"/>
  <c r="D23" i="4"/>
  <c r="E22" i="4"/>
  <c r="D22" i="4"/>
  <c r="D21" i="4"/>
  <c r="E20" i="4"/>
  <c r="D20" i="4"/>
  <c r="D19" i="4"/>
  <c r="D18" i="4"/>
  <c r="D17" i="4"/>
  <c r="F12" i="4"/>
  <c r="F11" i="4"/>
  <c r="F10" i="4"/>
  <c r="F9" i="4"/>
  <c r="F8" i="4"/>
  <c r="F7" i="4"/>
  <c r="F6" i="4"/>
  <c r="F5" i="4"/>
  <c r="F4" i="4"/>
  <c r="F3" i="4"/>
  <c r="F2" i="4"/>
  <c r="E36" i="1"/>
  <c r="I39" i="2"/>
  <c r="I38" i="2"/>
  <c r="I37" i="2"/>
  <c r="H39" i="2"/>
  <c r="H38" i="2"/>
  <c r="H37" i="2"/>
  <c r="E35" i="1"/>
  <c r="I35" i="2" s="1"/>
  <c r="G35" i="2" s="1"/>
  <c r="J4" i="2"/>
  <c r="J2" i="2"/>
  <c r="J3" i="2"/>
  <c r="M6" i="6" l="1"/>
  <c r="S13" i="6"/>
  <c r="O8" i="6"/>
  <c r="T6" i="6"/>
  <c r="Q6" i="6"/>
  <c r="Q12" i="6"/>
  <c r="Q10" i="6"/>
  <c r="Q9" i="6"/>
  <c r="O6" i="6"/>
  <c r="O9" i="6"/>
  <c r="S6" i="6"/>
  <c r="Q8" i="6"/>
  <c r="Q13" i="6"/>
  <c r="Q11" i="6"/>
  <c r="O11" i="6"/>
  <c r="O13" i="6"/>
  <c r="S12" i="6"/>
  <c r="O12" i="6"/>
  <c r="S11" i="6"/>
  <c r="S10" i="6"/>
  <c r="O10" i="6"/>
  <c r="S9" i="6"/>
  <c r="H7" i="5"/>
  <c r="H9" i="5"/>
  <c r="I14" i="5"/>
  <c r="H12" i="5"/>
  <c r="H14" i="5"/>
  <c r="I13" i="5"/>
  <c r="H15" i="5"/>
  <c r="H11" i="5"/>
  <c r="H8" i="5"/>
  <c r="I11" i="5"/>
  <c r="I12" i="5"/>
  <c r="H13" i="5"/>
  <c r="I36" i="2"/>
  <c r="G36" i="2" s="1"/>
  <c r="I18" i="2"/>
  <c r="G18" i="2" s="1"/>
  <c r="H35" i="2"/>
  <c r="F35" i="2" s="1"/>
  <c r="J41" i="2"/>
  <c r="E2" i="1"/>
  <c r="I2" i="2" s="1"/>
  <c r="G2" i="2" s="1"/>
  <c r="H2" i="2" s="1"/>
  <c r="F2" i="2" s="1"/>
  <c r="E34" i="1"/>
  <c r="E33" i="1"/>
  <c r="E32" i="1"/>
  <c r="E31" i="1"/>
  <c r="E30" i="1"/>
  <c r="I30" i="2" s="1"/>
  <c r="G30" i="2" s="1"/>
  <c r="H30" i="2" s="1"/>
  <c r="F30" i="2" s="1"/>
  <c r="E29" i="1"/>
  <c r="I29" i="2" s="1"/>
  <c r="G29" i="2" s="1"/>
  <c r="H29" i="2" s="1"/>
  <c r="F29" i="2" s="1"/>
  <c r="E28" i="1"/>
  <c r="I28" i="2" s="1"/>
  <c r="G28" i="2" s="1"/>
  <c r="H28" i="2" s="1"/>
  <c r="E27" i="1"/>
  <c r="E26" i="1"/>
  <c r="I27" i="2" s="1"/>
  <c r="E25" i="1"/>
  <c r="E24" i="1"/>
  <c r="I24" i="2" s="1"/>
  <c r="G24" i="2" s="1"/>
  <c r="H24" i="2" s="1"/>
  <c r="F24" i="2" s="1"/>
  <c r="E23" i="1"/>
  <c r="E22" i="1"/>
  <c r="I23" i="2" s="1"/>
  <c r="E21" i="1"/>
  <c r="E20" i="1"/>
  <c r="I20" i="2" s="1"/>
  <c r="G20" i="2" s="1"/>
  <c r="H20" i="2" s="1"/>
  <c r="F20" i="2" s="1"/>
  <c r="E19" i="1"/>
  <c r="E18" i="1"/>
  <c r="E17" i="1"/>
  <c r="G17" i="2" s="1"/>
  <c r="E16" i="1"/>
  <c r="I16" i="2" s="1"/>
  <c r="G16" i="2" s="1"/>
  <c r="E15" i="1"/>
  <c r="I15" i="2" s="1"/>
  <c r="G15" i="2" s="1"/>
  <c r="E14" i="1"/>
  <c r="I14" i="2" s="1"/>
  <c r="G14" i="2" s="1"/>
  <c r="E13" i="1"/>
  <c r="I13" i="2" s="1"/>
  <c r="G13" i="2" s="1"/>
  <c r="E12" i="1"/>
  <c r="I12" i="2" s="1"/>
  <c r="G12" i="2" s="1"/>
  <c r="E11" i="1"/>
  <c r="I11" i="2" s="1"/>
  <c r="G11" i="2" s="1"/>
  <c r="E10" i="1"/>
  <c r="I10" i="2" s="1"/>
  <c r="G10" i="2" s="1"/>
  <c r="E9" i="1"/>
  <c r="I9" i="2" s="1"/>
  <c r="G9" i="2" s="1"/>
  <c r="E8" i="1"/>
  <c r="I8" i="2" s="1"/>
  <c r="G8" i="2" s="1"/>
  <c r="E7" i="1"/>
  <c r="I7" i="2" s="1"/>
  <c r="G7" i="2" s="1"/>
  <c r="E6" i="1"/>
  <c r="I6" i="2" s="1"/>
  <c r="G6" i="2" s="1"/>
  <c r="E5" i="1"/>
  <c r="I5" i="2" s="1"/>
  <c r="G5" i="2" s="1"/>
  <c r="E4" i="1"/>
  <c r="I4" i="2" s="1"/>
  <c r="G4" i="2" s="1"/>
  <c r="H4" i="2" s="1"/>
  <c r="F4" i="2" s="1"/>
  <c r="E3" i="1"/>
  <c r="I3" i="2" s="1"/>
  <c r="G3" i="2" s="1"/>
  <c r="H3" i="2" s="1"/>
  <c r="S14" i="6" l="1"/>
  <c r="G31" i="2"/>
  <c r="H31" i="2" s="1"/>
  <c r="F31" i="2" s="1"/>
  <c r="I19" i="2"/>
  <c r="G19" i="2" s="1"/>
  <c r="G23" i="2"/>
  <c r="H23" i="2" s="1"/>
  <c r="F23" i="2" s="1"/>
  <c r="I34" i="2"/>
  <c r="G34" i="2" s="1"/>
  <c r="H34" i="2" s="1"/>
  <c r="F34" i="2" s="1"/>
  <c r="G27" i="2"/>
  <c r="H27" i="2" s="1"/>
  <c r="F27" i="2" s="1"/>
  <c r="I32" i="2"/>
  <c r="G32" i="2" s="1"/>
  <c r="H32" i="2" s="1"/>
  <c r="F32" i="2" s="1"/>
  <c r="I33" i="2"/>
  <c r="G33" i="2" s="1"/>
  <c r="H33" i="2" s="1"/>
  <c r="F33" i="2" s="1"/>
  <c r="H36" i="2"/>
  <c r="F36" i="2" s="1"/>
  <c r="I25" i="2"/>
  <c r="G25" i="2" s="1"/>
  <c r="H25" i="2" s="1"/>
  <c r="F25" i="2" s="1"/>
  <c r="I26" i="2"/>
  <c r="G26" i="2" s="1"/>
  <c r="H26" i="2" s="1"/>
  <c r="F26" i="2" s="1"/>
  <c r="I21" i="2"/>
  <c r="G21" i="2" s="1"/>
  <c r="H21" i="2" s="1"/>
  <c r="F21" i="2" s="1"/>
  <c r="I22" i="2"/>
  <c r="G22" i="2" s="1"/>
  <c r="H22" i="2" s="1"/>
  <c r="F22" i="2" s="1"/>
  <c r="F28" i="2"/>
  <c r="H7" i="2"/>
  <c r="F7" i="2" s="1"/>
  <c r="H11" i="2"/>
  <c r="F11" i="2" s="1"/>
  <c r="H8" i="2"/>
  <c r="F8" i="2" s="1"/>
  <c r="H9" i="2"/>
  <c r="F9" i="2" s="1"/>
  <c r="H15" i="2"/>
  <c r="F15" i="2" s="1"/>
  <c r="H12" i="2"/>
  <c r="F12" i="2" s="1"/>
  <c r="H17" i="2"/>
  <c r="F17" i="2" s="1"/>
  <c r="H5" i="2"/>
  <c r="F5" i="2" s="1"/>
  <c r="H10" i="2"/>
  <c r="F10" i="2" s="1"/>
  <c r="H13" i="2"/>
  <c r="F13" i="2" s="1"/>
  <c r="H14" i="2"/>
  <c r="F14" i="2" s="1"/>
  <c r="H16" i="2"/>
  <c r="F16" i="2" s="1"/>
  <c r="H18" i="2"/>
  <c r="F18" i="2" s="1"/>
  <c r="H6" i="2"/>
  <c r="F6" i="2" s="1"/>
  <c r="F3" i="2"/>
  <c r="E45" i="1"/>
  <c r="E46" i="1" s="1"/>
  <c r="H19" i="2" l="1"/>
  <c r="H41" i="2" s="1"/>
  <c r="I41" i="2"/>
  <c r="I42" i="2" s="1"/>
  <c r="G41" i="2"/>
  <c r="G42" i="2" s="1"/>
  <c r="F19" i="2" l="1"/>
  <c r="F4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<sst xmlns="http://schemas.openxmlformats.org/spreadsheetml/2006/main" count="1163" uniqueCount="494">
  <si>
    <t>권훈혁</t>
    <phoneticPr fontId="2" type="noConversion"/>
  </si>
  <si>
    <t>기사명</t>
    <phoneticPr fontId="2" type="noConversion"/>
  </si>
  <si>
    <t>차량번호</t>
    <phoneticPr fontId="2" type="noConversion"/>
  </si>
  <si>
    <t>삼성 평택</t>
    <phoneticPr fontId="2" type="noConversion"/>
  </si>
  <si>
    <t>삼성 용인</t>
    <phoneticPr fontId="2" type="noConversion"/>
  </si>
  <si>
    <t>운송료</t>
    <phoneticPr fontId="2" type="noConversion"/>
  </si>
  <si>
    <t>상차지</t>
    <phoneticPr fontId="2" type="noConversion"/>
  </si>
  <si>
    <t>하차지</t>
    <phoneticPr fontId="2" type="noConversion"/>
  </si>
  <si>
    <t>전화번호</t>
    <phoneticPr fontId="2" type="noConversion"/>
  </si>
  <si>
    <t>삼성 오산</t>
    <phoneticPr fontId="2" type="noConversion"/>
  </si>
  <si>
    <t>010-9981-3330</t>
    <phoneticPr fontId="2" type="noConversion"/>
  </si>
  <si>
    <t>경기90자 5137</t>
    <phoneticPr fontId="2" type="noConversion"/>
  </si>
  <si>
    <t>이상열</t>
    <phoneticPr fontId="2" type="noConversion"/>
  </si>
  <si>
    <t>010-6429-2824</t>
    <phoneticPr fontId="2" type="noConversion"/>
  </si>
  <si>
    <t>네이쳐스</t>
    <phoneticPr fontId="2" type="noConversion"/>
  </si>
  <si>
    <t>CJ수원</t>
    <phoneticPr fontId="2" type="noConversion"/>
  </si>
  <si>
    <t>계좌번호</t>
    <phoneticPr fontId="2" type="noConversion"/>
  </si>
  <si>
    <t>이효성</t>
    <phoneticPr fontId="2" type="noConversion"/>
  </si>
  <si>
    <t>대전89바 3454</t>
    <phoneticPr fontId="2" type="noConversion"/>
  </si>
  <si>
    <t>경기91자 5932</t>
    <phoneticPr fontId="2" type="noConversion"/>
  </si>
  <si>
    <t>경한물류</t>
    <phoneticPr fontId="2" type="noConversion"/>
  </si>
  <si>
    <t>대한 동탄</t>
    <phoneticPr fontId="2" type="noConversion"/>
  </si>
  <si>
    <t>CJ동탄</t>
    <phoneticPr fontId="2" type="noConversion"/>
  </si>
  <si>
    <t>박상연</t>
    <phoneticPr fontId="2" type="noConversion"/>
  </si>
  <si>
    <t>경기86사 6814</t>
    <phoneticPr fontId="2" type="noConversion"/>
  </si>
  <si>
    <t>010-2662-7194</t>
    <phoneticPr fontId="2" type="noConversion"/>
  </si>
  <si>
    <t>버드상사</t>
    <phoneticPr fontId="2" type="noConversion"/>
  </si>
  <si>
    <t>평택,오산</t>
    <phoneticPr fontId="2" type="noConversion"/>
  </si>
  <si>
    <t>김삼석</t>
    <phoneticPr fontId="2" type="noConversion"/>
  </si>
  <si>
    <t>서울85아 4743</t>
    <phoneticPr fontId="2" type="noConversion"/>
  </si>
  <si>
    <t>010-7749-9017</t>
    <phoneticPr fontId="2" type="noConversion"/>
  </si>
  <si>
    <t>두웰로지스</t>
    <phoneticPr fontId="2" type="noConversion"/>
  </si>
  <si>
    <t>김대훈</t>
    <phoneticPr fontId="2" type="noConversion"/>
  </si>
  <si>
    <t>서울85바 7035</t>
    <phoneticPr fontId="2" type="noConversion"/>
  </si>
  <si>
    <t>010-2632-3115</t>
  </si>
  <si>
    <t>한창농산</t>
    <phoneticPr fontId="2" type="noConversion"/>
  </si>
  <si>
    <t>김선훈</t>
    <phoneticPr fontId="2" type="noConversion"/>
  </si>
  <si>
    <t>010-9070-9395</t>
  </si>
  <si>
    <t>경기93아 6615</t>
    <phoneticPr fontId="2" type="noConversion"/>
  </si>
  <si>
    <t>CJ이천</t>
    <phoneticPr fontId="2" type="noConversion"/>
  </si>
  <si>
    <t>헤아림</t>
    <phoneticPr fontId="2" type="noConversion"/>
  </si>
  <si>
    <t>김영교</t>
    <phoneticPr fontId="2" type="noConversion"/>
  </si>
  <si>
    <t>010-8389-6671</t>
    <phoneticPr fontId="2" type="noConversion"/>
  </si>
  <si>
    <t>인천 수협</t>
    <phoneticPr fontId="2" type="noConversion"/>
  </si>
  <si>
    <t>김웅수</t>
    <phoneticPr fontId="2" type="noConversion"/>
  </si>
  <si>
    <t>010-7190-5555</t>
    <phoneticPr fontId="2" type="noConversion"/>
  </si>
  <si>
    <t>김원섭</t>
    <phoneticPr fontId="2" type="noConversion"/>
  </si>
  <si>
    <t>010-5117-4388</t>
    <phoneticPr fontId="2" type="noConversion"/>
  </si>
  <si>
    <t>CJ동탄 2회</t>
    <phoneticPr fontId="2" type="noConversion"/>
  </si>
  <si>
    <t>노연만</t>
    <phoneticPr fontId="2" type="noConversion"/>
  </si>
  <si>
    <t>경기96자 1321</t>
    <phoneticPr fontId="2" type="noConversion"/>
  </si>
  <si>
    <t>010-3233-1678</t>
  </si>
  <si>
    <t>우린</t>
    <phoneticPr fontId="2" type="noConversion"/>
  </si>
  <si>
    <t>박종하</t>
    <phoneticPr fontId="2" type="noConversion"/>
  </si>
  <si>
    <t>CJ이천 1호</t>
    <phoneticPr fontId="2" type="noConversion"/>
  </si>
  <si>
    <t>박희영</t>
    <phoneticPr fontId="2" type="noConversion"/>
  </si>
  <si>
    <t>서울90바 5748</t>
    <phoneticPr fontId="2" type="noConversion"/>
  </si>
  <si>
    <t>010-8624-2497</t>
    <phoneticPr fontId="2" type="noConversion"/>
  </si>
  <si>
    <t>010-6325-2092</t>
    <phoneticPr fontId="2" type="noConversion"/>
  </si>
  <si>
    <t>모하지</t>
    <phoneticPr fontId="2" type="noConversion"/>
  </si>
  <si>
    <t>박희현</t>
    <phoneticPr fontId="2" type="noConversion"/>
  </si>
  <si>
    <t>경기94자 5674</t>
    <phoneticPr fontId="2" type="noConversion"/>
  </si>
  <si>
    <t>010-6393-0717</t>
  </si>
  <si>
    <t>싱그람</t>
    <phoneticPr fontId="2" type="noConversion"/>
  </si>
  <si>
    <t>롯데 오산</t>
    <phoneticPr fontId="2" type="noConversion"/>
  </si>
  <si>
    <t>소우섭</t>
    <phoneticPr fontId="2" type="noConversion"/>
  </si>
  <si>
    <t>경기80바 1555</t>
    <phoneticPr fontId="2" type="noConversion"/>
  </si>
  <si>
    <t>010-5173-7588</t>
    <phoneticPr fontId="2" type="noConversion"/>
  </si>
  <si>
    <t>카자</t>
    <phoneticPr fontId="2" type="noConversion"/>
  </si>
  <si>
    <t>신원철</t>
    <phoneticPr fontId="2" type="noConversion"/>
  </si>
  <si>
    <t>경기94자 5698</t>
    <phoneticPr fontId="2" type="noConversion"/>
  </si>
  <si>
    <t>010-6363-5904</t>
  </si>
  <si>
    <t>안창선</t>
    <phoneticPr fontId="2" type="noConversion"/>
  </si>
  <si>
    <t>010-3977-7923</t>
    <phoneticPr fontId="2" type="noConversion"/>
  </si>
  <si>
    <t>경기94자 1578</t>
    <phoneticPr fontId="2" type="noConversion"/>
  </si>
  <si>
    <t>명현유통</t>
    <phoneticPr fontId="2" type="noConversion"/>
  </si>
  <si>
    <t>010-7184-2498</t>
  </si>
  <si>
    <t>오민욱</t>
    <phoneticPr fontId="2" type="noConversion"/>
  </si>
  <si>
    <t>010-3944-6120</t>
    <phoneticPr fontId="2" type="noConversion"/>
  </si>
  <si>
    <t>오장훈</t>
    <phoneticPr fontId="2" type="noConversion"/>
  </si>
  <si>
    <t>서울87아 8259</t>
    <phoneticPr fontId="2" type="noConversion"/>
  </si>
  <si>
    <t>010-3907-7638</t>
  </si>
  <si>
    <t>서브웨이</t>
    <phoneticPr fontId="2" type="noConversion"/>
  </si>
  <si>
    <t>이동준</t>
    <phoneticPr fontId="2" type="noConversion"/>
  </si>
  <si>
    <t>010-9062-0900</t>
  </si>
  <si>
    <t>동서울</t>
    <phoneticPr fontId="2" type="noConversion"/>
  </si>
  <si>
    <t>경기86사 6653</t>
    <phoneticPr fontId="2" type="noConversion"/>
  </si>
  <si>
    <t>경기80바 5452</t>
    <phoneticPr fontId="2" type="noConversion"/>
  </si>
  <si>
    <t>경기80자 1764</t>
    <phoneticPr fontId="2" type="noConversion"/>
  </si>
  <si>
    <t>경기93아 6048</t>
    <phoneticPr fontId="2" type="noConversion"/>
  </si>
  <si>
    <t>서울85바 8518</t>
    <phoneticPr fontId="2" type="noConversion"/>
  </si>
  <si>
    <t>이동현</t>
    <phoneticPr fontId="2" type="noConversion"/>
  </si>
  <si>
    <t>010-5038-9447</t>
    <phoneticPr fontId="2" type="noConversion"/>
  </si>
  <si>
    <t>이상기</t>
    <phoneticPr fontId="2" type="noConversion"/>
  </si>
  <si>
    <t>경기91자 7924</t>
    <phoneticPr fontId="2" type="noConversion"/>
  </si>
  <si>
    <t>010-3386-3371</t>
  </si>
  <si>
    <t>루트팜</t>
    <phoneticPr fontId="2" type="noConversion"/>
  </si>
  <si>
    <t>이영길</t>
    <phoneticPr fontId="2" type="noConversion"/>
  </si>
  <si>
    <t>서울86바 2427</t>
    <phoneticPr fontId="2" type="noConversion"/>
  </si>
  <si>
    <t>백암 대상</t>
    <phoneticPr fontId="2" type="noConversion"/>
  </si>
  <si>
    <t>이준배</t>
    <phoneticPr fontId="2" type="noConversion"/>
  </si>
  <si>
    <t>경기82바 8490</t>
    <phoneticPr fontId="2" type="noConversion"/>
  </si>
  <si>
    <t>010-7179-3007</t>
  </si>
  <si>
    <t>장정부</t>
    <phoneticPr fontId="2" type="noConversion"/>
  </si>
  <si>
    <t>경기94자 2459</t>
    <phoneticPr fontId="2" type="noConversion"/>
  </si>
  <si>
    <t>010-5779-3596</t>
  </si>
  <si>
    <t>CJ이천 2호</t>
    <phoneticPr fontId="2" type="noConversion"/>
  </si>
  <si>
    <t>정해왕</t>
    <phoneticPr fontId="2" type="noConversion"/>
  </si>
  <si>
    <t>경기89바 1247</t>
    <phoneticPr fontId="2" type="noConversion"/>
  </si>
  <si>
    <t>010-8938-8554</t>
  </si>
  <si>
    <t>주유길</t>
    <phoneticPr fontId="2" type="noConversion"/>
  </si>
  <si>
    <t>010-5314-9910</t>
    <phoneticPr fontId="2" type="noConversion"/>
  </si>
  <si>
    <t>CJ동탄 1호</t>
    <phoneticPr fontId="2" type="noConversion"/>
  </si>
  <si>
    <t>경기94아 5902</t>
    <phoneticPr fontId="2" type="noConversion"/>
  </si>
  <si>
    <t>차재학</t>
    <phoneticPr fontId="2" type="noConversion"/>
  </si>
  <si>
    <t>경기92자 5619</t>
    <phoneticPr fontId="2" type="noConversion"/>
  </si>
  <si>
    <t>010-5294-4691</t>
  </si>
  <si>
    <t>맑은해오름</t>
    <phoneticPr fontId="2" type="noConversion"/>
  </si>
  <si>
    <t>채수용</t>
    <phoneticPr fontId="2" type="noConversion"/>
  </si>
  <si>
    <t>서울88아 3872</t>
    <phoneticPr fontId="2" type="noConversion"/>
  </si>
  <si>
    <t>010-5803-3585</t>
  </si>
  <si>
    <t>한상철</t>
    <phoneticPr fontId="2" type="noConversion"/>
  </si>
  <si>
    <t>서울80바 8031</t>
    <phoneticPr fontId="2" type="noConversion"/>
  </si>
  <si>
    <t>010-8998-5172</t>
  </si>
  <si>
    <t>CJ수원 1호</t>
    <phoneticPr fontId="2" type="noConversion"/>
  </si>
  <si>
    <t>한유일</t>
    <phoneticPr fontId="2" type="noConversion"/>
  </si>
  <si>
    <t>전남84바 3255</t>
    <phoneticPr fontId="2" type="noConversion"/>
  </si>
  <si>
    <t>010-5498-1015</t>
  </si>
  <si>
    <t>순서</t>
    <phoneticPr fontId="2" type="noConversion"/>
  </si>
  <si>
    <t>김경현</t>
    <phoneticPr fontId="2" type="noConversion"/>
  </si>
  <si>
    <t>경기84아 7099</t>
    <phoneticPr fontId="2" type="noConversion"/>
  </si>
  <si>
    <t>010-9633-9283</t>
    <phoneticPr fontId="2" type="noConversion"/>
  </si>
  <si>
    <t>총 운송료</t>
    <phoneticPr fontId="2" type="noConversion"/>
  </si>
  <si>
    <t>하늘푸드 2회</t>
    <phoneticPr fontId="2" type="noConversion"/>
  </si>
  <si>
    <t>고정 운송료</t>
    <phoneticPr fontId="2" type="noConversion"/>
  </si>
  <si>
    <t>추가 운송료</t>
    <phoneticPr fontId="2" type="noConversion"/>
  </si>
  <si>
    <t>총 지급 운송료</t>
    <phoneticPr fontId="2" type="noConversion"/>
  </si>
  <si>
    <t>부가세</t>
    <phoneticPr fontId="2" type="noConversion"/>
  </si>
  <si>
    <t>지급액 (부가세 포함)</t>
    <phoneticPr fontId="2" type="noConversion"/>
  </si>
  <si>
    <t>안창호</t>
    <phoneticPr fontId="2" type="noConversion"/>
  </si>
  <si>
    <t>계산서</t>
    <phoneticPr fontId="2" type="noConversion"/>
  </si>
  <si>
    <t>두웰로지스</t>
    <phoneticPr fontId="2" type="noConversion"/>
  </si>
  <si>
    <t>아워홈 용인</t>
    <phoneticPr fontId="2" type="noConversion"/>
  </si>
  <si>
    <t>O</t>
    <phoneticPr fontId="2" type="noConversion"/>
  </si>
  <si>
    <t>X</t>
    <phoneticPr fontId="2" type="noConversion"/>
  </si>
  <si>
    <t>수원원예 농협</t>
    <phoneticPr fontId="2" type="noConversion"/>
  </si>
  <si>
    <t>김용재 원곡</t>
    <phoneticPr fontId="2" type="noConversion"/>
  </si>
  <si>
    <t>건우간선 1호</t>
    <phoneticPr fontId="2" type="noConversion"/>
  </si>
  <si>
    <t>건우이관 2호</t>
    <phoneticPr fontId="2" type="noConversion"/>
  </si>
  <si>
    <t>풀무원 양지</t>
    <phoneticPr fontId="2" type="noConversion"/>
  </si>
  <si>
    <t>하늘푸드 휴무</t>
    <phoneticPr fontId="2" type="noConversion"/>
  </si>
  <si>
    <t>이엔피 리치</t>
    <phoneticPr fontId="2" type="noConversion"/>
  </si>
  <si>
    <t>건우물류 리치</t>
    <phoneticPr fontId="2" type="noConversion"/>
  </si>
  <si>
    <t>지오물류 리치</t>
    <phoneticPr fontId="2" type="noConversion"/>
  </si>
  <si>
    <t>경기91바 6218</t>
    <phoneticPr fontId="2" type="noConversion"/>
  </si>
  <si>
    <t>경기93사 5063</t>
    <phoneticPr fontId="2" type="noConversion"/>
  </si>
  <si>
    <t>이름</t>
    <phoneticPr fontId="2" type="noConversion"/>
  </si>
  <si>
    <t>날짜</t>
    <phoneticPr fontId="2" type="noConversion"/>
  </si>
  <si>
    <t>3일</t>
    <phoneticPr fontId="2" type="noConversion"/>
  </si>
  <si>
    <t>14시</t>
    <phoneticPr fontId="2" type="noConversion"/>
  </si>
  <si>
    <t>박태준</t>
    <phoneticPr fontId="2" type="noConversion"/>
  </si>
  <si>
    <t>010-5833-4892</t>
    <phoneticPr fontId="2" type="noConversion"/>
  </si>
  <si>
    <t>경기80바9855</t>
    <phoneticPr fontId="2" type="noConversion"/>
  </si>
  <si>
    <t>남양 하인즈</t>
    <phoneticPr fontId="2" type="noConversion"/>
  </si>
  <si>
    <t>안원옥</t>
    <phoneticPr fontId="2" type="noConversion"/>
  </si>
  <si>
    <t>010-5106-8529</t>
    <phoneticPr fontId="2" type="noConversion"/>
  </si>
  <si>
    <t>서울87아4946</t>
    <phoneticPr fontId="2" type="noConversion"/>
  </si>
  <si>
    <t>15시</t>
    <phoneticPr fontId="2" type="noConversion"/>
  </si>
  <si>
    <t>박진우</t>
    <phoneticPr fontId="2" type="noConversion"/>
  </si>
  <si>
    <t>010-3383-9173</t>
    <phoneticPr fontId="2" type="noConversion"/>
  </si>
  <si>
    <t>강원81자2992</t>
    <phoneticPr fontId="2" type="noConversion"/>
  </si>
  <si>
    <t>장규호</t>
    <phoneticPr fontId="2" type="noConversion"/>
  </si>
  <si>
    <t>010-4882-8675</t>
    <phoneticPr fontId="2" type="noConversion"/>
  </si>
  <si>
    <t>경기96자8191</t>
    <phoneticPr fontId="2" type="noConversion"/>
  </si>
  <si>
    <t>010-3907-7638</t>
    <phoneticPr fontId="2" type="noConversion"/>
  </si>
  <si>
    <t>서울87아8259</t>
    <phoneticPr fontId="2" type="noConversion"/>
  </si>
  <si>
    <t>010-5803-3585</t>
    <phoneticPr fontId="2" type="noConversion"/>
  </si>
  <si>
    <t>서울88아3872</t>
    <phoneticPr fontId="2" type="noConversion"/>
  </si>
  <si>
    <t>고이석</t>
    <phoneticPr fontId="2" type="noConversion"/>
  </si>
  <si>
    <t>010-3610-6849</t>
    <phoneticPr fontId="2" type="noConversion"/>
  </si>
  <si>
    <t>경기54사7088</t>
    <phoneticPr fontId="2" type="noConversion"/>
  </si>
  <si>
    <t>20시</t>
    <phoneticPr fontId="2" type="noConversion"/>
  </si>
  <si>
    <t>장효수</t>
    <phoneticPr fontId="2" type="noConversion"/>
  </si>
  <si>
    <t>010-9165-0877</t>
    <phoneticPr fontId="2" type="noConversion"/>
  </si>
  <si>
    <t>경기86아1880</t>
    <phoneticPr fontId="2" type="noConversion"/>
  </si>
  <si>
    <t>19시</t>
    <phoneticPr fontId="2" type="noConversion"/>
  </si>
  <si>
    <t>18시</t>
    <phoneticPr fontId="2" type="noConversion"/>
  </si>
  <si>
    <t>21시</t>
    <phoneticPr fontId="2" type="noConversion"/>
  </si>
  <si>
    <t>용인 포니아</t>
    <phoneticPr fontId="2" type="noConversion"/>
  </si>
  <si>
    <t>고세일</t>
    <phoneticPr fontId="2" type="noConversion"/>
  </si>
  <si>
    <t>010-4651-3287</t>
    <phoneticPr fontId="2" type="noConversion"/>
  </si>
  <si>
    <t>경기94아3287</t>
    <phoneticPr fontId="2" type="noConversion"/>
  </si>
  <si>
    <t>경기80아7099</t>
    <phoneticPr fontId="2" type="noConversion"/>
  </si>
  <si>
    <t>최준범</t>
    <phoneticPr fontId="2" type="noConversion"/>
  </si>
  <si>
    <t>010-7159-6992</t>
    <phoneticPr fontId="2" type="noConversion"/>
  </si>
  <si>
    <t>경기80바2132</t>
    <phoneticPr fontId="2" type="noConversion"/>
  </si>
  <si>
    <t>17시</t>
    <phoneticPr fontId="2" type="noConversion"/>
  </si>
  <si>
    <t>이걸후</t>
    <phoneticPr fontId="2" type="noConversion"/>
  </si>
  <si>
    <t>010-4520-3882</t>
    <phoneticPr fontId="2" type="noConversion"/>
  </si>
  <si>
    <t>경기94자5517</t>
    <phoneticPr fontId="2" type="noConversion"/>
  </si>
  <si>
    <t>대전89바3454</t>
    <phoneticPr fontId="2" type="noConversion"/>
  </si>
  <si>
    <t>경기90자5137</t>
    <phoneticPr fontId="2" type="noConversion"/>
  </si>
  <si>
    <t>경기92자5619</t>
    <phoneticPr fontId="2" type="noConversion"/>
  </si>
  <si>
    <t>방수인</t>
    <phoneticPr fontId="2" type="noConversion"/>
  </si>
  <si>
    <t>이은중</t>
    <phoneticPr fontId="2" type="noConversion"/>
  </si>
  <si>
    <t>010-9234-0457</t>
    <phoneticPr fontId="2" type="noConversion"/>
  </si>
  <si>
    <t>충남80아3691</t>
    <phoneticPr fontId="2" type="noConversion"/>
  </si>
  <si>
    <t>제원</t>
    <phoneticPr fontId="2" type="noConversion"/>
  </si>
  <si>
    <t>시간</t>
    <phoneticPr fontId="2" type="noConversion"/>
  </si>
  <si>
    <t>경기94아9466</t>
    <phoneticPr fontId="2" type="noConversion"/>
  </si>
  <si>
    <t>회차</t>
    <phoneticPr fontId="2" type="noConversion"/>
  </si>
  <si>
    <t>김포 포니아</t>
    <phoneticPr fontId="2" type="noConversion"/>
  </si>
  <si>
    <t>4일</t>
    <phoneticPr fontId="2" type="noConversion"/>
  </si>
  <si>
    <t>고대곤</t>
    <phoneticPr fontId="2" type="noConversion"/>
  </si>
  <si>
    <t>010-8952-3732</t>
    <phoneticPr fontId="2" type="noConversion"/>
  </si>
  <si>
    <t>경기90바9022</t>
    <phoneticPr fontId="2" type="noConversion"/>
  </si>
  <si>
    <t>남사 이엔피</t>
    <phoneticPr fontId="2" type="noConversion"/>
  </si>
  <si>
    <t>김영석</t>
    <phoneticPr fontId="2" type="noConversion"/>
  </si>
  <si>
    <t>010-5220-1017</t>
    <phoneticPr fontId="2" type="noConversion"/>
  </si>
  <si>
    <t>경기89바9896</t>
    <phoneticPr fontId="2" type="noConversion"/>
  </si>
  <si>
    <t>강규석</t>
    <phoneticPr fontId="2" type="noConversion"/>
  </si>
  <si>
    <t>010-2357-3449</t>
    <phoneticPr fontId="2" type="noConversion"/>
  </si>
  <si>
    <t>경기85사6733</t>
    <phoneticPr fontId="2" type="noConversion"/>
  </si>
  <si>
    <t>평택 이엔피</t>
    <phoneticPr fontId="2" type="noConversion"/>
  </si>
  <si>
    <t>부대명</t>
    <phoneticPr fontId="2" type="noConversion"/>
  </si>
  <si>
    <t>납품 횟수</t>
    <phoneticPr fontId="2" type="noConversion"/>
  </si>
  <si>
    <t>차량 불출</t>
    <phoneticPr fontId="2" type="noConversion"/>
  </si>
  <si>
    <t>기타</t>
    <phoneticPr fontId="2" type="noConversion"/>
  </si>
  <si>
    <t>6급양대 (남양주)</t>
    <phoneticPr fontId="2" type="noConversion"/>
  </si>
  <si>
    <t>서울80바8031</t>
    <phoneticPr fontId="2" type="noConversion"/>
  </si>
  <si>
    <t>010-8998-5172</t>
    <phoneticPr fontId="2" type="noConversion"/>
  </si>
  <si>
    <t>010-8998-5172</t>
    <phoneticPr fontId="2" type="noConversion"/>
  </si>
  <si>
    <t>10급양대 (부평)</t>
    <phoneticPr fontId="2" type="noConversion"/>
  </si>
  <si>
    <t>경기91자7924</t>
    <phoneticPr fontId="2" type="noConversion"/>
  </si>
  <si>
    <t>010-3386-3371</t>
    <phoneticPr fontId="2" type="noConversion"/>
  </si>
  <si>
    <t>010-3386-3371</t>
    <phoneticPr fontId="2" type="noConversion"/>
  </si>
  <si>
    <t>010-4424-6774</t>
    <phoneticPr fontId="2" type="noConversion"/>
  </si>
  <si>
    <t>21사단 (양구)</t>
    <phoneticPr fontId="2" type="noConversion"/>
  </si>
  <si>
    <t>조규용</t>
    <phoneticPr fontId="2" type="noConversion"/>
  </si>
  <si>
    <t>금성수</t>
    <phoneticPr fontId="2" type="noConversion"/>
  </si>
  <si>
    <t>경기93바1391</t>
    <phoneticPr fontId="2" type="noConversion"/>
  </si>
  <si>
    <t>010-2680-6673</t>
    <phoneticPr fontId="2" type="noConversion"/>
  </si>
  <si>
    <t>강원81자3375</t>
    <phoneticPr fontId="2" type="noConversion"/>
  </si>
  <si>
    <t>010-9246-1823</t>
    <phoneticPr fontId="2" type="noConversion"/>
  </si>
  <si>
    <t>11사단 (홍천)</t>
    <phoneticPr fontId="2" type="noConversion"/>
  </si>
  <si>
    <t>경기96자1321</t>
    <phoneticPr fontId="2" type="noConversion"/>
  </si>
  <si>
    <t>010-3233-1678</t>
    <phoneticPr fontId="2" type="noConversion"/>
  </si>
  <si>
    <t>010-3233-1678</t>
    <phoneticPr fontId="2" type="noConversion"/>
  </si>
  <si>
    <t>1급양대 (고양)</t>
    <phoneticPr fontId="2" type="noConversion"/>
  </si>
  <si>
    <t>고영훈</t>
    <phoneticPr fontId="2" type="noConversion"/>
  </si>
  <si>
    <t>서울86바3706</t>
    <phoneticPr fontId="2" type="noConversion"/>
  </si>
  <si>
    <t>010-2649-6849</t>
    <phoneticPr fontId="2" type="noConversion"/>
  </si>
  <si>
    <t>박종관</t>
    <phoneticPr fontId="2" type="noConversion"/>
  </si>
  <si>
    <t>010-3681-1341</t>
    <phoneticPr fontId="2" type="noConversion"/>
  </si>
  <si>
    <t>전북92사8059</t>
    <phoneticPr fontId="2" type="noConversion"/>
  </si>
  <si>
    <t>6일</t>
    <phoneticPr fontId="2" type="noConversion"/>
  </si>
  <si>
    <t>용차료</t>
    <phoneticPr fontId="2" type="noConversion"/>
  </si>
  <si>
    <t>이정환</t>
    <phoneticPr fontId="2" type="noConversion"/>
  </si>
  <si>
    <t>경기93아2951</t>
    <phoneticPr fontId="2" type="noConversion"/>
  </si>
  <si>
    <t>010-6404-0026</t>
    <phoneticPr fontId="2" type="noConversion"/>
  </si>
  <si>
    <t>경한물류</t>
    <phoneticPr fontId="2" type="noConversion"/>
  </si>
  <si>
    <t>삼성 평택</t>
    <phoneticPr fontId="2" type="noConversion"/>
  </si>
  <si>
    <t>이정환</t>
    <phoneticPr fontId="2" type="noConversion"/>
  </si>
  <si>
    <t>심형용</t>
    <phoneticPr fontId="2" type="noConversion"/>
  </si>
  <si>
    <t>CJ동탄</t>
    <phoneticPr fontId="2" type="noConversion"/>
  </si>
  <si>
    <t>경기89아2753</t>
    <phoneticPr fontId="2" type="noConversion"/>
  </si>
  <si>
    <t>010-2373-1720</t>
    <phoneticPr fontId="2" type="noConversion"/>
  </si>
  <si>
    <t>010-9633-9283</t>
    <phoneticPr fontId="2" type="noConversion"/>
  </si>
  <si>
    <t>010-3907-7638</t>
    <phoneticPr fontId="2" type="noConversion"/>
  </si>
  <si>
    <t>회당 운송료</t>
    <phoneticPr fontId="2" type="noConversion"/>
  </si>
  <si>
    <t>불출 운송료</t>
    <phoneticPr fontId="2" type="noConversion"/>
  </si>
  <si>
    <t>오장훈</t>
    <phoneticPr fontId="2" type="noConversion"/>
  </si>
  <si>
    <t>한상철</t>
    <phoneticPr fontId="2" type="noConversion"/>
  </si>
  <si>
    <t>기사명</t>
    <phoneticPr fontId="2" type="noConversion"/>
  </si>
  <si>
    <t>이상기</t>
    <phoneticPr fontId="2" type="noConversion"/>
  </si>
  <si>
    <t>방수인</t>
    <phoneticPr fontId="2" type="noConversion"/>
  </si>
  <si>
    <t>부대1</t>
    <phoneticPr fontId="2" type="noConversion"/>
  </si>
  <si>
    <t>부대2</t>
    <phoneticPr fontId="2" type="noConversion"/>
  </si>
  <si>
    <t>불출</t>
    <phoneticPr fontId="2" type="noConversion"/>
  </si>
  <si>
    <t>총 지급액</t>
    <phoneticPr fontId="2" type="noConversion"/>
  </si>
  <si>
    <t>7일</t>
    <phoneticPr fontId="2" type="noConversion"/>
  </si>
  <si>
    <t>08시</t>
    <phoneticPr fontId="2" type="noConversion"/>
  </si>
  <si>
    <t>10시</t>
    <phoneticPr fontId="2" type="noConversion"/>
  </si>
  <si>
    <t>경기94자5674</t>
    <phoneticPr fontId="2" type="noConversion"/>
  </si>
  <si>
    <t>010-6393-0717</t>
    <phoneticPr fontId="2" type="noConversion"/>
  </si>
  <si>
    <t>11시</t>
    <phoneticPr fontId="2" type="noConversion"/>
  </si>
  <si>
    <t>010-9114-1900</t>
    <phoneticPr fontId="2" type="noConversion"/>
  </si>
  <si>
    <t>이엔피-CJ수원</t>
    <phoneticPr fontId="2" type="noConversion"/>
  </si>
  <si>
    <t>하늘-이엔피 2회</t>
    <phoneticPr fontId="2" type="noConversion"/>
  </si>
  <si>
    <t>11톤 16P (완)</t>
    <phoneticPr fontId="2" type="noConversion"/>
  </si>
  <si>
    <t>이엔피-삼성 오산</t>
    <phoneticPr fontId="2" type="noConversion"/>
  </si>
  <si>
    <t>이엔피-삼성 평택</t>
    <phoneticPr fontId="2" type="noConversion"/>
  </si>
  <si>
    <t>11톤 16P (컨)</t>
    <phoneticPr fontId="2" type="noConversion"/>
  </si>
  <si>
    <t>2023년 10월</t>
    <phoneticPr fontId="2" type="noConversion"/>
  </si>
  <si>
    <t>지오-삼성 오산</t>
    <phoneticPr fontId="2" type="noConversion"/>
  </si>
  <si>
    <t>건우-CJ수원</t>
    <phoneticPr fontId="2" type="noConversion"/>
  </si>
  <si>
    <t>네이쳐-CJ수원</t>
    <phoneticPr fontId="2" type="noConversion"/>
  </si>
  <si>
    <t>11톤 18P (냉)</t>
    <phoneticPr fontId="2" type="noConversion"/>
  </si>
  <si>
    <t>2023년 6월</t>
    <phoneticPr fontId="2" type="noConversion"/>
  </si>
  <si>
    <t>건우-삼성 오산</t>
    <phoneticPr fontId="2" type="noConversion"/>
  </si>
  <si>
    <t>이엔피-CJ동탄</t>
    <phoneticPr fontId="2" type="noConversion"/>
  </si>
  <si>
    <t>경한-대한 동탄</t>
    <phoneticPr fontId="2" type="noConversion"/>
  </si>
  <si>
    <t>경기91자5932</t>
    <phoneticPr fontId="2" type="noConversion"/>
  </si>
  <si>
    <t>버드-CJ수원</t>
    <phoneticPr fontId="2" type="noConversion"/>
  </si>
  <si>
    <t>버드-평택,오산</t>
    <phoneticPr fontId="2" type="noConversion"/>
  </si>
  <si>
    <t>경기86사6814</t>
    <phoneticPr fontId="2" type="noConversion"/>
  </si>
  <si>
    <t>2022년 7월</t>
    <phoneticPr fontId="2" type="noConversion"/>
  </si>
  <si>
    <t>두웰-아워홈 용인</t>
    <phoneticPr fontId="2" type="noConversion"/>
  </si>
  <si>
    <t>두웰-CJ수원</t>
    <phoneticPr fontId="2" type="noConversion"/>
  </si>
  <si>
    <t>11톤 14P (컨)</t>
    <phoneticPr fontId="2" type="noConversion"/>
  </si>
  <si>
    <t>2018년 8월</t>
    <phoneticPr fontId="2" type="noConversion"/>
  </si>
  <si>
    <t>한창-CJ동탄</t>
    <phoneticPr fontId="2" type="noConversion"/>
  </si>
  <si>
    <t>5톤 10P (냉)</t>
    <phoneticPr fontId="2" type="noConversion"/>
  </si>
  <si>
    <t>010-2632-3115</t>
    <phoneticPr fontId="2" type="noConversion"/>
  </si>
  <si>
    <t>2025년 7월</t>
    <phoneticPr fontId="2" type="noConversion"/>
  </si>
  <si>
    <t>헤아림-삼성 평택</t>
    <phoneticPr fontId="2" type="noConversion"/>
  </si>
  <si>
    <t>네이쳐-CJ이천</t>
    <phoneticPr fontId="2" type="noConversion"/>
  </si>
  <si>
    <t>11톤 18P (컨)</t>
    <phoneticPr fontId="2" type="noConversion"/>
  </si>
  <si>
    <t>경기93아6615</t>
    <phoneticPr fontId="2" type="noConversion"/>
  </si>
  <si>
    <t>010-9070-9395</t>
    <phoneticPr fontId="2" type="noConversion"/>
  </si>
  <si>
    <t>2019년 10월</t>
    <phoneticPr fontId="2" type="noConversion"/>
  </si>
  <si>
    <t>수협-CJ수원</t>
    <phoneticPr fontId="2" type="noConversion"/>
  </si>
  <si>
    <t>경기93사5063</t>
    <phoneticPr fontId="2" type="noConversion"/>
  </si>
  <si>
    <t>2020년 9월</t>
    <phoneticPr fontId="2" type="noConversion"/>
  </si>
  <si>
    <t>3.5톤 8P (냉)</t>
    <phoneticPr fontId="2" type="noConversion"/>
  </si>
  <si>
    <t>서울85바8518</t>
    <phoneticPr fontId="2" type="noConversion"/>
  </si>
  <si>
    <t>2026년 3월 말</t>
    <phoneticPr fontId="2" type="noConversion"/>
  </si>
  <si>
    <t>두웰-CJ동탄 2회</t>
    <phoneticPr fontId="2" type="noConversion"/>
  </si>
  <si>
    <t>경기91바6218</t>
    <phoneticPr fontId="2" type="noConversion"/>
  </si>
  <si>
    <t>2021년 5월</t>
    <phoneticPr fontId="2" type="noConversion"/>
  </si>
  <si>
    <t>우린-CJ이천</t>
    <phoneticPr fontId="2" type="noConversion"/>
  </si>
  <si>
    <t>2025년 9월</t>
    <phoneticPr fontId="2" type="noConversion"/>
  </si>
  <si>
    <t>경한-CJ이천</t>
    <phoneticPr fontId="2" type="noConversion"/>
  </si>
  <si>
    <t>서울90바5748</t>
    <phoneticPr fontId="2" type="noConversion"/>
  </si>
  <si>
    <t>2025년 10월</t>
    <phoneticPr fontId="2" type="noConversion"/>
  </si>
  <si>
    <t>모하지-CJ이천</t>
    <phoneticPr fontId="2" type="noConversion"/>
  </si>
  <si>
    <t>경기80자1764</t>
    <phoneticPr fontId="2" type="noConversion"/>
  </si>
  <si>
    <t>2025년 11월</t>
    <phoneticPr fontId="2" type="noConversion"/>
  </si>
  <si>
    <t>싱그람-롯데오산</t>
    <phoneticPr fontId="2" type="noConversion"/>
  </si>
  <si>
    <t>이엔피-CJ이천</t>
    <phoneticPr fontId="2" type="noConversion"/>
  </si>
  <si>
    <t>2024년 7월</t>
    <phoneticPr fontId="2" type="noConversion"/>
  </si>
  <si>
    <t>지오-팜에이트</t>
    <phoneticPr fontId="2" type="noConversion"/>
  </si>
  <si>
    <t>카자-삼성 평택</t>
    <phoneticPr fontId="2" type="noConversion"/>
  </si>
  <si>
    <t>경기80바1555</t>
    <phoneticPr fontId="2" type="noConversion"/>
  </si>
  <si>
    <t>2022년 6월</t>
    <phoneticPr fontId="2" type="noConversion"/>
  </si>
  <si>
    <t>원예-CJ수원</t>
    <phoneticPr fontId="2" type="noConversion"/>
  </si>
  <si>
    <t>경기94자5698</t>
    <phoneticPr fontId="2" type="noConversion"/>
  </si>
  <si>
    <t>010-6363-5904</t>
    <phoneticPr fontId="2" type="noConversion"/>
  </si>
  <si>
    <t>신월철</t>
    <phoneticPr fontId="2" type="noConversion"/>
  </si>
  <si>
    <t>2025년 3월</t>
    <phoneticPr fontId="2" type="noConversion"/>
  </si>
  <si>
    <t>경한-CJ동탄</t>
    <phoneticPr fontId="2" type="noConversion"/>
  </si>
  <si>
    <t>18톤 18P (컨)</t>
    <phoneticPr fontId="2" type="noConversion"/>
  </si>
  <si>
    <t>명현-CJ동탄</t>
    <phoneticPr fontId="2" type="noConversion"/>
  </si>
  <si>
    <t>경기94자1578</t>
    <phoneticPr fontId="2" type="noConversion"/>
  </si>
  <si>
    <t>2024년 2월</t>
    <phoneticPr fontId="2" type="noConversion"/>
  </si>
  <si>
    <t>명현-삼성 용인</t>
    <phoneticPr fontId="2" type="noConversion"/>
  </si>
  <si>
    <t>경기93아6048</t>
    <phoneticPr fontId="2" type="noConversion"/>
  </si>
  <si>
    <t>010-7184-2498</t>
    <phoneticPr fontId="2" type="noConversion"/>
  </si>
  <si>
    <t>안창호 (안창선)</t>
    <phoneticPr fontId="2" type="noConversion"/>
  </si>
  <si>
    <t>수협-CJ이천</t>
    <phoneticPr fontId="2" type="noConversion"/>
  </si>
  <si>
    <t>경기91자7028</t>
    <phoneticPr fontId="2" type="noConversion"/>
  </si>
  <si>
    <t>오민욱 (최성민)</t>
    <phoneticPr fontId="2" type="noConversion"/>
  </si>
  <si>
    <t>2024년</t>
    <phoneticPr fontId="2" type="noConversion"/>
  </si>
  <si>
    <t>건우-CJ동탄</t>
    <phoneticPr fontId="2" type="noConversion"/>
  </si>
  <si>
    <t>원예-건우간선</t>
    <phoneticPr fontId="2" type="noConversion"/>
  </si>
  <si>
    <t>원예-서브웨이</t>
    <phoneticPr fontId="2" type="noConversion"/>
  </si>
  <si>
    <t>이엔피-동서울</t>
    <phoneticPr fontId="2" type="noConversion"/>
  </si>
  <si>
    <t>11톤 16P (냉)</t>
    <phoneticPr fontId="2" type="noConversion"/>
  </si>
  <si>
    <t>경기86사6653</t>
    <phoneticPr fontId="2" type="noConversion"/>
  </si>
  <si>
    <t>010-9062-0900</t>
    <phoneticPr fontId="2" type="noConversion"/>
  </si>
  <si>
    <t>경기80바5452</t>
    <phoneticPr fontId="2" type="noConversion"/>
  </si>
  <si>
    <t>2025년</t>
    <phoneticPr fontId="2" type="noConversion"/>
  </si>
  <si>
    <t>용재원곡-CJ동탄</t>
    <phoneticPr fontId="2" type="noConversion"/>
  </si>
  <si>
    <t>루트팜-용재원곡</t>
    <phoneticPr fontId="2" type="noConversion"/>
  </si>
  <si>
    <t>2020년 5월</t>
    <phoneticPr fontId="2" type="noConversion"/>
  </si>
  <si>
    <t>버드-삼성 오산</t>
    <phoneticPr fontId="2" type="noConversion"/>
  </si>
  <si>
    <t>버드-백암 대상</t>
    <phoneticPr fontId="2" type="noConversion"/>
  </si>
  <si>
    <t>네이쳐-CJ동탄</t>
    <phoneticPr fontId="2" type="noConversion"/>
  </si>
  <si>
    <t>서울86바2427</t>
    <phoneticPr fontId="2" type="noConversion"/>
  </si>
  <si>
    <t>경한-삼성 평택</t>
    <phoneticPr fontId="2" type="noConversion"/>
  </si>
  <si>
    <t>2026년 3월</t>
    <phoneticPr fontId="2" type="noConversion"/>
  </si>
  <si>
    <t>두웰-삼성 오산</t>
    <phoneticPr fontId="2" type="noConversion"/>
  </si>
  <si>
    <t>경기82바8490</t>
    <phoneticPr fontId="2" type="noConversion"/>
  </si>
  <si>
    <t>010-7179-3007</t>
    <phoneticPr fontId="2" type="noConversion"/>
  </si>
  <si>
    <t>2020년</t>
    <phoneticPr fontId="2" type="noConversion"/>
  </si>
  <si>
    <t>경기94자2459</t>
    <phoneticPr fontId="2" type="noConversion"/>
  </si>
  <si>
    <t>010-5779-3596</t>
    <phoneticPr fontId="2" type="noConversion"/>
  </si>
  <si>
    <t>카자-CJ동탄</t>
    <phoneticPr fontId="2" type="noConversion"/>
  </si>
  <si>
    <t>11톤 14P (냉)</t>
    <phoneticPr fontId="2" type="noConversion"/>
  </si>
  <si>
    <t>경기89바1247</t>
    <phoneticPr fontId="2" type="noConversion"/>
  </si>
  <si>
    <t>010-8938-8554</t>
    <phoneticPr fontId="2" type="noConversion"/>
  </si>
  <si>
    <t>경기94아5902</t>
    <phoneticPr fontId="2" type="noConversion"/>
  </si>
  <si>
    <t>두웰-현대 동탄</t>
    <phoneticPr fontId="2" type="noConversion"/>
  </si>
  <si>
    <t>원예-CJ동탄</t>
    <phoneticPr fontId="2" type="noConversion"/>
  </si>
  <si>
    <t>해오름-이엔피</t>
    <phoneticPr fontId="2" type="noConversion"/>
  </si>
  <si>
    <t>010-5294-4691</t>
    <phoneticPr fontId="2" type="noConversion"/>
  </si>
  <si>
    <t>2021년</t>
    <phoneticPr fontId="2" type="noConversion"/>
  </si>
  <si>
    <t>경한-CJ수원</t>
    <phoneticPr fontId="2" type="noConversion"/>
  </si>
  <si>
    <t>원예-풀무원양지</t>
    <phoneticPr fontId="2" type="noConversion"/>
  </si>
  <si>
    <t>2025년 4월</t>
    <phoneticPr fontId="2" type="noConversion"/>
  </si>
  <si>
    <t>건우-삼성 평택</t>
    <phoneticPr fontId="2" type="noConversion"/>
  </si>
  <si>
    <t>원예-건우이관2호</t>
    <phoneticPr fontId="2" type="noConversion"/>
  </si>
  <si>
    <t>전남84바3255</t>
    <phoneticPr fontId="2" type="noConversion"/>
  </si>
  <si>
    <t>010-5498-1015</t>
    <phoneticPr fontId="2" type="noConversion"/>
  </si>
  <si>
    <t>2026년 2월</t>
    <phoneticPr fontId="2" type="noConversion"/>
  </si>
  <si>
    <t>운송료4</t>
  </si>
  <si>
    <t>노선4</t>
    <phoneticPr fontId="2" type="noConversion"/>
  </si>
  <si>
    <t>운송료3</t>
  </si>
  <si>
    <t>노선3</t>
    <phoneticPr fontId="2" type="noConversion"/>
  </si>
  <si>
    <t>운송료2</t>
  </si>
  <si>
    <t>노선2</t>
    <phoneticPr fontId="2" type="noConversion"/>
  </si>
  <si>
    <t>노선1</t>
    <phoneticPr fontId="2" type="noConversion"/>
  </si>
  <si>
    <t>차량제원</t>
    <phoneticPr fontId="2" type="noConversion"/>
  </si>
  <si>
    <t>시작일자</t>
    <phoneticPr fontId="2" type="noConversion"/>
  </si>
  <si>
    <t>노선정보</t>
    <phoneticPr fontId="2" type="noConversion"/>
  </si>
  <si>
    <t>전화</t>
    <phoneticPr fontId="2" type="noConversion"/>
  </si>
  <si>
    <t>검색 (기사명)</t>
    <phoneticPr fontId="2" type="noConversion"/>
  </si>
  <si>
    <t>※ 동명이인 존재 시 이름 뒤 숫자 표기</t>
    <phoneticPr fontId="2" type="noConversion"/>
  </si>
  <si>
    <t>기사 정보 검색 Search</t>
    <phoneticPr fontId="2" type="noConversion"/>
  </si>
  <si>
    <t>기사 정보 등록</t>
    <phoneticPr fontId="2" type="noConversion"/>
  </si>
  <si>
    <t>고정일 월 총 매출</t>
    <phoneticPr fontId="2" type="noConversion"/>
  </si>
  <si>
    <t>비고</t>
    <phoneticPr fontId="2" type="noConversion"/>
  </si>
  <si>
    <t>김남학</t>
    <phoneticPr fontId="2" type="noConversion"/>
  </si>
  <si>
    <t>010-2702-8877</t>
    <phoneticPr fontId="2" type="noConversion"/>
  </si>
  <si>
    <t>경기80사1144</t>
    <phoneticPr fontId="2" type="noConversion"/>
  </si>
  <si>
    <t>양동원</t>
    <phoneticPr fontId="2" type="noConversion"/>
  </si>
  <si>
    <t>010-4025-6121</t>
    <phoneticPr fontId="2" type="noConversion"/>
  </si>
  <si>
    <t>경기93아1871</t>
    <phoneticPr fontId="2" type="noConversion"/>
  </si>
  <si>
    <t>6일</t>
    <phoneticPr fontId="2" type="noConversion"/>
  </si>
  <si>
    <t>14시</t>
    <phoneticPr fontId="2" type="noConversion"/>
  </si>
  <si>
    <t>김경현 차감</t>
    <phoneticPr fontId="2" type="noConversion"/>
  </si>
  <si>
    <t>하늘푸드 1회</t>
    <phoneticPr fontId="2" type="noConversion"/>
  </si>
  <si>
    <t>15시</t>
    <phoneticPr fontId="2" type="noConversion"/>
  </si>
  <si>
    <t>5일</t>
    <phoneticPr fontId="2" type="noConversion"/>
  </si>
  <si>
    <t>18시</t>
    <phoneticPr fontId="2" type="noConversion"/>
  </si>
  <si>
    <t>평택 이엔피</t>
    <phoneticPr fontId="2" type="noConversion"/>
  </si>
  <si>
    <t>CJ이천</t>
    <phoneticPr fontId="2" type="noConversion"/>
  </si>
  <si>
    <t>추가 상차 요금</t>
    <phoneticPr fontId="2" type="noConversion"/>
  </si>
  <si>
    <t>신한은행 110341227805</t>
    <phoneticPr fontId="2" type="noConversion"/>
  </si>
  <si>
    <t>경기80바5484</t>
    <phoneticPr fontId="2" type="noConversion"/>
  </si>
  <si>
    <t>농협 이현정 46402195292</t>
    <phoneticPr fontId="2" type="noConversion"/>
  </si>
  <si>
    <t>하나은행 38781013444007</t>
    <phoneticPr fontId="2" type="noConversion"/>
  </si>
  <si>
    <t xml:space="preserve">	농협 356 0557 7342 63</t>
    <phoneticPr fontId="2" type="noConversion"/>
  </si>
  <si>
    <t>신한 110 345 706921</t>
    <phoneticPr fontId="2" type="noConversion"/>
  </si>
  <si>
    <t>농협 14312379351</t>
    <phoneticPr fontId="2" type="noConversion"/>
  </si>
  <si>
    <t>농협 12812554967</t>
    <phoneticPr fontId="2" type="noConversion"/>
  </si>
  <si>
    <t>농협 김은희 3521377945823</t>
    <phoneticPr fontId="2" type="noConversion"/>
  </si>
  <si>
    <t>신한은행 110486998426</t>
    <phoneticPr fontId="2" type="noConversion"/>
  </si>
  <si>
    <t xml:space="preserve">	하나은행 38781013444007</t>
    <phoneticPr fontId="2" type="noConversion"/>
  </si>
  <si>
    <t>신한은행 110452354802</t>
    <phoneticPr fontId="2" type="noConversion"/>
  </si>
  <si>
    <t>통신료</t>
    <phoneticPr fontId="2" type="noConversion"/>
  </si>
  <si>
    <t>태무통신료</t>
    <phoneticPr fontId="2" type="noConversion"/>
  </si>
  <si>
    <t>새마을 9004003869583</t>
    <phoneticPr fontId="2" type="noConversion"/>
  </si>
  <si>
    <t>국민은행 032210404436</t>
    <phoneticPr fontId="2" type="noConversion"/>
  </si>
  <si>
    <t>기업은행 60606832404014</t>
    <phoneticPr fontId="2" type="noConversion"/>
  </si>
  <si>
    <t>농협 3521608297973</t>
    <phoneticPr fontId="2" type="noConversion"/>
  </si>
  <si>
    <t>농협은행 3520776120573</t>
  </si>
  <si>
    <t>국민은행 24080104201761</t>
  </si>
  <si>
    <t xml:space="preserve">	우리은행 25308075412001</t>
  </si>
  <si>
    <t xml:space="preserve"> 하나은행 63291025338307</t>
  </si>
  <si>
    <t>신한 110099758502</t>
  </si>
  <si>
    <t>국민은행 74890100028673</t>
  </si>
  <si>
    <t>기업 06207004501018</t>
  </si>
  <si>
    <t>농협 3521748179243</t>
  </si>
  <si>
    <t>국민은행 73600201227208</t>
  </si>
  <si>
    <t xml:space="preserve">	기업은행 58904360201011</t>
  </si>
  <si>
    <t xml:space="preserve">	하나은행 92391010693507</t>
  </si>
  <si>
    <t xml:space="preserve">	하나 김미화 92391023202607</t>
  </si>
  <si>
    <t>신한은행 110391753833</t>
  </si>
  <si>
    <t xml:space="preserve">	신한은행 110258817827</t>
  </si>
  <si>
    <t>국민 222210329762</t>
  </si>
  <si>
    <t>우리은행 1005702080913</t>
  </si>
  <si>
    <t>기업은행 35711172301014</t>
  </si>
  <si>
    <t>노선5</t>
    <phoneticPr fontId="2" type="noConversion"/>
  </si>
  <si>
    <t>기사 검색 Search</t>
    <phoneticPr fontId="2" type="noConversion"/>
  </si>
  <si>
    <t>적재량</t>
    <phoneticPr fontId="2" type="noConversion"/>
  </si>
  <si>
    <t>하차지2</t>
  </si>
  <si>
    <t>하차지4</t>
  </si>
  <si>
    <t>운송료5</t>
  </si>
  <si>
    <t>하차지6</t>
  </si>
  <si>
    <t>운송료7</t>
  </si>
  <si>
    <t>운송료9</t>
  </si>
  <si>
    <t>용차</t>
    <phoneticPr fontId="2" type="noConversion"/>
  </si>
  <si>
    <t>합계</t>
    <phoneticPr fontId="2" type="noConversion"/>
  </si>
  <si>
    <t>총 용차료</t>
    <phoneticPr fontId="2" type="noConversion"/>
  </si>
  <si>
    <t>하차지8</t>
    <phoneticPr fontId="2" type="noConversion"/>
  </si>
  <si>
    <t>하차지3</t>
    <phoneticPr fontId="2" type="noConversion"/>
  </si>
  <si>
    <t>2018</t>
    <phoneticPr fontId="2" type="noConversion"/>
  </si>
  <si>
    <t>하늘</t>
    <phoneticPr fontId="2" type="noConversion"/>
  </si>
  <si>
    <t>평택</t>
    <phoneticPr fontId="2" type="noConversion"/>
  </si>
  <si>
    <t>1230120</t>
    <phoneticPr fontId="2" type="noConversion"/>
  </si>
  <si>
    <t>123012312</t>
    <phoneticPr fontId="2" type="noConversion"/>
  </si>
  <si>
    <t>123</t>
    <phoneticPr fontId="2" type="noConversion"/>
  </si>
  <si>
    <t>하늫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</si>
</sst>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4"/>
      <color rgb="FF000000"/>
      <name val="맑은 고딕"/>
      <family val="3"/>
      <charset val="129"/>
    </font>
    <font>
      <sz val="18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indexed="64"/>
      </left>
      <right/>
      <top style="double">
        <color auto="1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3" fillId="0" borderId="1" xfId="0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1" fontId="3" fillId="0" borderId="2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4" xfId="0" applyNumberFormat="1" applyBorder="1">
      <alignment vertical="center"/>
    </xf>
    <xf numFmtId="41" fontId="0" fillId="0" borderId="1" xfId="0" applyNumberFormat="1" applyBorder="1">
      <alignment vertical="center"/>
    </xf>
    <xf numFmtId="41" fontId="4" fillId="0" borderId="7" xfId="0" applyNumberFormat="1" applyFont="1" applyBorder="1" applyAlignment="1">
      <alignment horizontal="center" vertical="center"/>
    </xf>
    <xf numFmtId="41" fontId="4" fillId="0" borderId="1" xfId="0" applyNumberFormat="1" applyFont="1" applyBorder="1" applyAlignment="1">
      <alignment horizontal="center" vertical="center"/>
    </xf>
    <xf numFmtId="41" fontId="5" fillId="0" borderId="1" xfId="0" applyNumberFormat="1" applyFont="1" applyBorder="1" applyAlignment="1">
      <alignment horizontal="center" vertical="center"/>
    </xf>
    <xf numFmtId="41" fontId="0" fillId="0" borderId="8" xfId="0" applyNumberFormat="1" applyBorder="1">
      <alignment vertical="center"/>
    </xf>
    <xf numFmtId="41" fontId="3" fillId="0" borderId="1" xfId="0" applyNumberFormat="1" applyFont="1" applyBorder="1">
      <alignment vertical="center"/>
    </xf>
    <xf numFmtId="0" fontId="0" fillId="5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41" fontId="0" fillId="0" borderId="13" xfId="1" applyFont="1" applyBorder="1" applyAlignment="1">
      <alignment horizontal="center" vertical="center"/>
    </xf>
    <xf numFmtId="41" fontId="3" fillId="0" borderId="6" xfId="0" applyNumberFormat="1" applyFont="1" applyBorder="1" applyAlignment="1">
      <alignment horizontal="center" vertical="center"/>
    </xf>
    <xf numFmtId="41" fontId="3" fillId="0" borderId="0" xfId="0" applyNumberFormat="1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41" fontId="3" fillId="0" borderId="9" xfId="0" applyNumberFormat="1" applyFont="1" applyBorder="1" applyAlignment="1">
      <alignment horizontal="center" vertical="center"/>
    </xf>
    <xf numFmtId="41" fontId="4" fillId="0" borderId="16" xfId="0" applyNumberFormat="1" applyFont="1" applyBorder="1" applyAlignment="1">
      <alignment horizontal="center" vertical="center"/>
    </xf>
    <xf numFmtId="41" fontId="4" fillId="0" borderId="2" xfId="0" applyNumberFormat="1" applyFont="1" applyBorder="1" applyAlignment="1">
      <alignment horizontal="center" vertical="center"/>
    </xf>
    <xf numFmtId="41" fontId="4" fillId="0" borderId="6" xfId="0" applyNumberFormat="1" applyFont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41" fontId="4" fillId="0" borderId="21" xfId="0" applyNumberFormat="1" applyFont="1" applyBorder="1" applyAlignment="1">
      <alignment horizontal="center" vertical="center"/>
    </xf>
    <xf numFmtId="41" fontId="3" fillId="0" borderId="21" xfId="0" applyNumberFormat="1" applyFont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41" fontId="4" fillId="0" borderId="4" xfId="0" applyNumberFormat="1" applyFont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41" fontId="6" fillId="0" borderId="7" xfId="0" applyNumberFormat="1" applyFont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41" fontId="0" fillId="0" borderId="16" xfId="1" applyFont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41" fontId="0" fillId="14" borderId="0" xfId="1" applyFont="1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41" fontId="4" fillId="0" borderId="23" xfId="0" applyNumberFormat="1" applyFont="1" applyBorder="1" applyAlignment="1">
      <alignment horizontal="center" vertical="center"/>
    </xf>
    <xf numFmtId="41" fontId="4" fillId="0" borderId="24" xfId="0" applyNumberFormat="1" applyFon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9" xfId="0" applyBorder="1">
      <alignment vertical="center"/>
    </xf>
    <xf numFmtId="41" fontId="0" fillId="0" borderId="8" xfId="0" applyNumberFormat="1" applyBorder="1" applyAlignment="1">
      <alignment horizontal="center" vertical="center"/>
    </xf>
    <xf numFmtId="31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41" fontId="11" fillId="0" borderId="1" xfId="1" applyFont="1" applyBorder="1" applyAlignment="1">
      <alignment horizontal="center" vertical="center"/>
    </xf>
    <xf numFmtId="41" fontId="11" fillId="0" borderId="1" xfId="1" applyFont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4" borderId="1" xfId="0" applyNumberForma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9" fontId="10" fillId="2" borderId="0" xfId="0" applyNumberFormat="1" applyFon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8" fillId="15" borderId="4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41" fontId="7" fillId="0" borderId="6" xfId="1" applyFont="1" applyBorder="1" applyAlignment="1">
      <alignment horizontal="center" vertical="center"/>
    </xf>
    <xf numFmtId="41" fontId="7" fillId="0" borderId="5" xfId="1" applyFont="1" applyBorder="1" applyAlignment="1">
      <alignment horizontal="center" vertical="center"/>
    </xf>
    <xf numFmtId="41" fontId="7" fillId="0" borderId="24" xfId="1" applyFont="1" applyBorder="1" applyAlignment="1">
      <alignment horizontal="center" vertical="center"/>
    </xf>
    <xf numFmtId="41" fontId="7" fillId="0" borderId="11" xfId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24" xfId="0" applyFont="1" applyFill="1" applyBorder="1" applyAlignment="1">
      <alignment horizontal="center" vertical="center"/>
    </xf>
    <xf numFmtId="0" fontId="10" fillId="5" borderId="25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9" fillId="0" borderId="25" xfId="0" applyFont="1" applyBorder="1" applyAlignment="1">
      <alignment horizontal="right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49" fontId="6" fillId="9" borderId="1" xfId="0" applyNumberFormat="1" applyFont="1" applyFill="1" applyBorder="1" applyAlignment="1">
      <alignment horizontal="center" vertical="center"/>
    </xf>
    <xf numFmtId="49" fontId="10" fillId="5" borderId="6" xfId="0" applyNumberFormat="1" applyFont="1" applyFill="1" applyBorder="1" applyAlignment="1">
      <alignment horizontal="center" vertical="center"/>
    </xf>
    <xf numFmtId="49" fontId="10" fillId="5" borderId="9" xfId="0" applyNumberFormat="1" applyFont="1" applyFill="1" applyBorder="1" applyAlignment="1">
      <alignment horizontal="center" vertical="center"/>
    </xf>
    <xf numFmtId="49" fontId="10" fillId="5" borderId="24" xfId="0" applyNumberFormat="1" applyFont="1" applyFill="1" applyBorder="1" applyAlignment="1">
      <alignment horizontal="center" vertical="center"/>
    </xf>
    <xf numFmtId="49" fontId="10" fillId="5" borderId="25" xfId="0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3" borderId="3" xfId="0" applyNumberForma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14" fillId="5" borderId="6" xfId="0" applyNumberFormat="1" applyFont="1" applyFill="1" applyBorder="1" applyAlignment="1">
      <alignment horizontal="center" vertical="center"/>
    </xf>
    <xf numFmtId="49" fontId="14" fillId="5" borderId="9" xfId="0" applyNumberFormat="1" applyFont="1" applyFill="1" applyBorder="1" applyAlignment="1">
      <alignment horizontal="center" vertical="center"/>
    </xf>
    <xf numFmtId="49" fontId="14" fillId="5" borderId="5" xfId="0" applyNumberFormat="1" applyFont="1" applyFill="1" applyBorder="1" applyAlignment="1">
      <alignment horizontal="center" vertical="center"/>
    </xf>
    <xf numFmtId="49" fontId="14" fillId="5" borderId="24" xfId="0" applyNumberFormat="1" applyFont="1" applyFill="1" applyBorder="1" applyAlignment="1">
      <alignment horizontal="center" vertical="center"/>
    </xf>
    <xf numFmtId="49" fontId="14" fillId="5" borderId="25" xfId="0" applyNumberFormat="1" applyFont="1" applyFill="1" applyBorder="1" applyAlignment="1">
      <alignment horizontal="center" vertical="center"/>
    </xf>
    <xf numFmtId="49" fontId="14" fillId="5" borderId="11" xfId="0" applyNumberFormat="1" applyFont="1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vertical="center"/>
    </xf>
    <xf numFmtId="49" fontId="15" fillId="0" borderId="1" xfId="0" applyNumberFormat="1" applyFon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9" fontId="6" fillId="2" borderId="9" xfId="0" applyNumberFormat="1" applyFont="1" applyFill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49" fontId="16" fillId="0" borderId="0" xfId="0" applyNumberFormat="1" applyFont="1">
      <alignment vertical="center"/>
    </xf>
    <xf numFmtId="49" fontId="17" fillId="3" borderId="1" xfId="0" applyNumberFormat="1" applyFont="1" applyFill="1" applyBorder="1" applyAlignment="1">
      <alignment horizontal="center" vertical="center"/>
    </xf>
    <xf numFmtId="49" fontId="16" fillId="3" borderId="1" xfId="0" applyNumberFormat="1" applyFont="1" applyFill="1" applyBorder="1" applyAlignment="1">
      <alignment horizontal="center" vertical="center"/>
    </xf>
    <xf numFmtId="49" fontId="16" fillId="2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49" fontId="18" fillId="5" borderId="6" xfId="0" applyNumberFormat="1" applyFont="1" applyFill="1" applyBorder="1" applyAlignment="1">
      <alignment horizontal="center" vertical="center"/>
    </xf>
    <xf numFmtId="49" fontId="18" fillId="5" borderId="9" xfId="0" applyNumberFormat="1" applyFont="1" applyFill="1" applyBorder="1" applyAlignment="1">
      <alignment horizontal="center" vertical="center"/>
    </xf>
    <xf numFmtId="49" fontId="18" fillId="5" borderId="24" xfId="0" applyNumberFormat="1" applyFont="1" applyFill="1" applyBorder="1" applyAlignment="1">
      <alignment horizontal="center" vertical="center"/>
    </xf>
    <xf numFmtId="49" fontId="18" fillId="5" borderId="25" xfId="0" applyNumberFormat="1" applyFont="1" applyFill="1" applyBorder="1" applyAlignment="1">
      <alignment horizontal="center" vertical="center"/>
    </xf>
    <xf numFmtId="49" fontId="16" fillId="3" borderId="2" xfId="0" applyNumberFormat="1" applyFont="1" applyFill="1" applyBorder="1" applyAlignment="1">
      <alignment horizontal="center" vertical="center"/>
    </xf>
    <xf numFmtId="49" fontId="16" fillId="0" borderId="2" xfId="0" applyNumberFormat="1" applyFont="1" applyBorder="1" applyAlignment="1">
      <alignment horizontal="center" vertical="center"/>
    </xf>
    <xf numFmtId="41" fontId="16" fillId="0" borderId="1" xfId="1" applyFont="1" applyBorder="1" applyAlignment="1">
      <alignment horizontal="center" vertical="center"/>
    </xf>
    <xf numFmtId="49" fontId="17" fillId="2" borderId="27" xfId="0" applyNumberFormat="1" applyFont="1" applyFill="1" applyBorder="1" applyAlignment="1">
      <alignment vertical="center"/>
    </xf>
    <xf numFmtId="49" fontId="17" fillId="2" borderId="0" xfId="0" applyNumberFormat="1" applyFont="1" applyFill="1" applyBorder="1" applyAlignment="1">
      <alignment vertical="center"/>
    </xf>
    <xf numFmtId="49" fontId="16" fillId="2" borderId="27" xfId="0" applyNumberFormat="1" applyFont="1" applyFill="1" applyBorder="1" applyAlignment="1">
      <alignment horizontal="center" vertical="center"/>
    </xf>
    <xf numFmtId="49" fontId="16" fillId="2" borderId="0" xfId="0" applyNumberFormat="1" applyFont="1" applyFill="1" applyBorder="1" applyAlignment="1">
      <alignment horizontal="center" vertical="center"/>
    </xf>
    <xf numFmtId="49" fontId="0" fillId="2" borderId="27" xfId="0" applyNumberFormat="1" applyFill="1" applyBorder="1" applyAlignment="1">
      <alignment horizontal="center" vertical="center"/>
    </xf>
    <xf numFmtId="49" fontId="0" fillId="2" borderId="0" xfId="0" applyNumberFormat="1" applyFill="1" applyBorder="1" applyAlignment="1">
      <alignment vertical="center"/>
    </xf>
    <xf numFmtId="49" fontId="0" fillId="2" borderId="0" xfId="0" applyNumberFormat="1" applyFill="1" applyBorder="1" applyAlignment="1">
      <alignment horizontal="center" vertical="center"/>
    </xf>
    <xf numFmtId="41" fontId="0" fillId="2" borderId="27" xfId="1" applyFont="1" applyFill="1" applyBorder="1" applyAlignment="1">
      <alignment horizontal="center" vertical="center"/>
    </xf>
    <xf numFmtId="41" fontId="0" fillId="2" borderId="0" xfId="1" applyFont="1" applyFill="1" applyBorder="1" applyAlignment="1">
      <alignment vertical="center"/>
    </xf>
    <xf numFmtId="41" fontId="0" fillId="2" borderId="27" xfId="1" applyFont="1" applyFill="1" applyBorder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49" fontId="18" fillId="5" borderId="5" xfId="0" applyNumberFormat="1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 vertical="center"/>
    </xf>
    <xf numFmtId="49" fontId="0" fillId="2" borderId="4" xfId="0" applyNumberFormat="1" applyFill="1" applyBorder="1" applyAlignment="1">
      <alignment horizontal="center" vertical="center"/>
    </xf>
    <xf numFmtId="49" fontId="0" fillId="2" borderId="8" xfId="0" applyNumberFormat="1" applyFill="1" applyBorder="1" applyAlignment="1">
      <alignment horizontal="center" vertical="center"/>
    </xf>
    <xf numFmtId="49" fontId="0" fillId="2" borderId="7" xfId="0" applyNumberForma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2" borderId="9" xfId="0" applyNumberForma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0" fontId="0" fillId="2" borderId="0" xfId="1" applyNumberFormat="1" applyFont="1" applyFill="1" applyBorder="1" applyAlignment="1">
      <alignment horizontal="center" vertical="center"/>
    </xf>
    <xf numFmtId="49" fontId="16" fillId="16" borderId="1" xfId="0" applyNumberFormat="1" applyFont="1" applyFill="1" applyBorder="1" applyAlignment="1">
      <alignment horizontal="center" vertical="center"/>
    </xf>
    <xf numFmtId="49" fontId="16" fillId="16" borderId="2" xfId="0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33" formatCode="_-* #,##0_-;\-* #,##0_-;_-* &quot;-&quot;_-;_-@_-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146050</xdr:colOff>
          <xdr:row>0</xdr:row>
          <xdr:rowOff>196850</xdr:rowOff>
        </xdr:from>
        <xdr:to>
          <xdr:col>4</xdr:col>
          <xdr:colOff>63500</xdr:colOff>
          <xdr:row>16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기사 정보 저장하기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</xdr:colOff>
          <xdr:row>6</xdr:row>
          <xdr:rowOff>31750</xdr:rowOff>
        </xdr:from>
        <xdr:to>
          <xdr:col>6</xdr:col>
          <xdr:colOff>768350</xdr:colOff>
          <xdr:row>14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기사 정보등록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601DD3-12CA-44A0-9346-4475825BAB00}" name="표1" displayName="표1" ref="B20:O56" totalsRowShown="0" headerRowDxfId="45" headerRowBorderDxfId="44" tableBorderDxfId="43">
  <autoFilter ref="B20:O56" xr:uid="{96C7FE59-E495-42C4-B9EE-9BBDCFA74ED2}"/>
  <tableColumns count="14">
    <tableColumn id="1" xr3:uid="{9D5B7F31-9E7F-4782-9227-8DC212791D4F}" name="시작일자" dataDxfId="42"/>
    <tableColumn id="2" xr3:uid="{9FFD2BCE-4B8C-4119-80C9-65BF0978936E}" name="기사명" dataDxfId="41"/>
    <tableColumn id="3" xr3:uid="{715EA22C-CCA4-49DE-8131-776A8BB01A05}" name="전화번호" dataDxfId="40"/>
    <tableColumn id="4" xr3:uid="{A72BAC7E-C278-40D6-AE9F-7A6972F63C4C}" name="차량번호" dataDxfId="39"/>
    <tableColumn id="5" xr3:uid="{310A2B44-AA0E-4B88-B45A-5C1A0AC77145}" name="차량제원" dataDxfId="38"/>
    <tableColumn id="6" xr3:uid="{14C8C1B3-6960-4EB1-9A9B-7F12C8CC9AF6}" name="노선1" dataDxfId="37"/>
    <tableColumn id="7" xr3:uid="{D70BFFCA-8292-43D3-8CE2-8E616E9B212D}" name="운송료" dataDxfId="36"/>
    <tableColumn id="8" xr3:uid="{5F56D441-1CA7-4A24-842C-A58539E928B1}" name="노선2" dataDxfId="35"/>
    <tableColumn id="9" xr3:uid="{37E21DA0-7336-4BFF-8D07-DA2F788C9309}" name="운송료2" dataDxfId="34"/>
    <tableColumn id="10" xr3:uid="{59065A8B-BA55-40DE-9148-CFF77C15DDAF}" name="노선3" dataDxfId="33"/>
    <tableColumn id="11" xr3:uid="{79560BA0-A241-42D1-A382-56D0DAE6A591}" name="운송료3" dataDxfId="32"/>
    <tableColumn id="12" xr3:uid="{5D731ADD-73AB-453F-9DB8-9DD3664AD3F8}" name="노선4" dataDxfId="31"/>
    <tableColumn id="13" xr3:uid="{E8470171-244B-4E83-948B-F8DA8CC129AA}" name="운송료4" dataDxfId="30"/>
    <tableColumn id="14" xr3:uid="{6AE13DDC-EECB-4AB2-9902-6085531B9715}" name="총 운송료" dataDxfId="29">
      <calculatedColumnFormula>SUM(N21,L21,J21,H21)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A2C7E3-36EF-4894-817D-D37E139DA3C3}" name="표4" displayName="표4" ref="B32:Y34" totalsRowShown="0" headerRowDxfId="6" dataDxfId="7" headerRowBorderDxfId="27" tableBorderDxfId="28" totalsRowBorderDxfId="26">
  <autoFilter ref="B32:Y34" xr:uid="{23A2C7E3-36EF-4894-817D-D37E139DA3C3}"/>
  <tableColumns count="24">
    <tableColumn id="1" xr3:uid="{9AD81DC7-5661-47EA-9B56-799B834BB6E0}" name="시작일자" dataDxfId="2"/>
    <tableColumn id="2" xr3:uid="{E553DB55-B1A5-410A-8FFF-95CF1314D239}" name="기사명" dataDxfId="0"/>
    <tableColumn id="3" xr3:uid="{3E1AF5B3-4D46-4FBC-8173-16513AF1AA0D}" name="전화번호" dataDxfId="1"/>
    <tableColumn id="4" xr3:uid="{712813DC-F60A-4CA2-AB56-320DD0C24DCD}" name="차량번호" dataDxfId="25"/>
    <tableColumn id="5" xr3:uid="{44DE0D79-69C9-428F-9A07-8B14D30CD6EE}" name="제원" dataDxfId="24"/>
    <tableColumn id="6" xr3:uid="{37FC439B-D5DA-4A2E-AF13-A33B03C82C79}" name="적재량" dataDxfId="23"/>
    <tableColumn id="7" xr3:uid="{DA119897-CEFE-41D7-9738-A8EE98B56E80}" name="노선1" dataDxfId="22"/>
    <tableColumn id="8" xr3:uid="{AD7898A3-B8B9-4FD6-951B-CD603DFABC48}" name="하차지" dataDxfId="21"/>
    <tableColumn id="9" xr3:uid="{D3210176-892C-4D22-891D-E4992643F3D0}" name="운송료" dataDxfId="20"/>
    <tableColumn id="10" xr3:uid="{EEDAA1EF-0F42-405E-BC9E-E774064EB45C}" name="노선2" dataDxfId="19"/>
    <tableColumn id="11" xr3:uid="{2615D496-F0EE-492B-B9CE-C72841293304}" name="하차지2" dataDxfId="18"/>
    <tableColumn id="12" xr3:uid="{C0F1B07E-81CC-4C23-A75F-1816A9466395}" name="운송료3" dataDxfId="17"/>
    <tableColumn id="13" xr3:uid="{9E32F53D-9D78-4DB9-AD02-EE2C135CC39C}" name="노선3" dataDxfId="16"/>
    <tableColumn id="14" xr3:uid="{4659ACBE-083C-4A76-9711-FEDCD170572D}" name="하차지4" dataDxfId="15"/>
    <tableColumn id="15" xr3:uid="{70F2EA3F-C057-42C2-AEF3-3EEDB953B1D1}" name="운송료5" dataDxfId="14"/>
    <tableColumn id="16" xr3:uid="{424942F4-4E58-4607-BE1A-521623D15B32}" name="노선4" dataDxfId="13"/>
    <tableColumn id="17" xr3:uid="{307EBF23-14CF-4F5E-9C27-FAB321AE3B71}" name="하차지6" dataDxfId="12"/>
    <tableColumn id="18" xr3:uid="{5588C812-BA44-42D1-B125-024142215153}" name="운송료7" dataDxfId="11"/>
    <tableColumn id="19" xr3:uid="{211D022D-A966-41A6-9E98-B3BDE7FDD219}" name="노선5" dataDxfId="10"/>
    <tableColumn id="20" xr3:uid="{7C87DFB0-AAAA-48C9-A7D2-831885EF7917}" name="하차지8" dataDxfId="9"/>
    <tableColumn id="21" xr3:uid="{4D3EEA03-207D-42C1-B2D4-9C0E7B29FFA7}" name="운송료9" dataDxfId="8"/>
    <tableColumn id="22" xr3:uid="{9B9851F7-558C-47C2-8561-CBBF5A51CC0D}" name="용차" dataDxfId="5"/>
    <tableColumn id="23" xr3:uid="{35863974-4718-4640-A2B9-8BB7AE8E2923}" name="하차지3" dataDxfId="4"/>
    <tableColumn id="24" xr3:uid="{4CC6618D-6591-4007-BEC3-62DC17401D73}" name="용차료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0373-5D26-482E-B7B7-12BA5A59A0A0}">
  <sheetPr codeName="Sheet1"/>
  <dimension ref="A1:AJ838"/>
  <sheetViews>
    <sheetView showGridLines="0" zoomScaleNormal="100" workbookViewId="0">
      <pane xSplit="5" topLeftCell="F1" activePane="topRight" state="frozen"/>
      <selection pane="topRight" activeCell="K19" sqref="K19"/>
    </sheetView>
  </sheetViews>
  <sheetFormatPr defaultRowHeight="17" x14ac:dyDescent="0.45"/>
  <cols>
    <col min="1" max="1" width="4.6640625" style="3" customWidth="1"/>
    <col min="2" max="2" width="7.6640625" style="1" customWidth="1"/>
    <col min="3" max="3" width="13.6640625" style="1" customWidth="1"/>
    <col min="4" max="4" width="14.6640625" style="1" customWidth="1"/>
    <col min="5" max="5" width="14.6640625" customWidth="1"/>
    <col min="6" max="6" width="1.6640625" customWidth="1"/>
    <col min="7" max="9" width="13.6640625" style="1" customWidth="1"/>
    <col min="10" max="10" width="13.6640625" style="2" customWidth="1"/>
    <col min="11" max="36" width="13.6640625" customWidth="1"/>
  </cols>
  <sheetData>
    <row r="1" spans="1:36" ht="18" thickTop="1" thickBot="1" x14ac:dyDescent="0.5">
      <c r="A1" s="23" t="s">
        <v>128</v>
      </c>
      <c r="B1" s="24" t="s">
        <v>1</v>
      </c>
      <c r="C1" s="35" t="s">
        <v>2</v>
      </c>
      <c r="D1" s="25" t="s">
        <v>8</v>
      </c>
      <c r="E1" s="36" t="s">
        <v>132</v>
      </c>
      <c r="F1" s="51"/>
      <c r="G1" s="47" t="s">
        <v>6</v>
      </c>
      <c r="H1" s="23" t="s">
        <v>7</v>
      </c>
      <c r="I1" s="23" t="s">
        <v>5</v>
      </c>
      <c r="J1" s="23" t="s">
        <v>6</v>
      </c>
      <c r="K1" s="23" t="s">
        <v>7</v>
      </c>
      <c r="L1" s="23" t="s">
        <v>5</v>
      </c>
      <c r="M1" s="23" t="s">
        <v>6</v>
      </c>
      <c r="N1" s="23" t="s">
        <v>7</v>
      </c>
      <c r="O1" s="23" t="s">
        <v>5</v>
      </c>
      <c r="P1" s="23" t="s">
        <v>6</v>
      </c>
      <c r="Q1" s="23" t="s">
        <v>7</v>
      </c>
      <c r="R1" s="23" t="s">
        <v>5</v>
      </c>
      <c r="S1" s="23" t="s">
        <v>6</v>
      </c>
      <c r="T1" s="23" t="s">
        <v>7</v>
      </c>
      <c r="U1" s="61" t="s">
        <v>5</v>
      </c>
      <c r="V1" s="65" t="s">
        <v>6</v>
      </c>
      <c r="W1" s="65" t="s">
        <v>7</v>
      </c>
      <c r="X1" s="65" t="s">
        <v>5</v>
      </c>
      <c r="Y1" s="65" t="s">
        <v>6</v>
      </c>
      <c r="Z1" s="65" t="s">
        <v>7</v>
      </c>
      <c r="AA1" s="65" t="s">
        <v>5</v>
      </c>
      <c r="AB1" s="65" t="s">
        <v>6</v>
      </c>
      <c r="AC1" s="65" t="s">
        <v>7</v>
      </c>
      <c r="AD1" s="65" t="s">
        <v>5</v>
      </c>
      <c r="AE1" s="65" t="s">
        <v>6</v>
      </c>
      <c r="AF1" s="65" t="s">
        <v>7</v>
      </c>
      <c r="AG1" s="65" t="s">
        <v>5</v>
      </c>
      <c r="AH1" s="65" t="s">
        <v>6</v>
      </c>
      <c r="AI1" s="65" t="s">
        <v>7</v>
      </c>
      <c r="AJ1" s="65" t="s">
        <v>5</v>
      </c>
    </row>
    <row r="2" spans="1:36" ht="17.5" thickTop="1" x14ac:dyDescent="0.45">
      <c r="A2" s="37">
        <v>1</v>
      </c>
      <c r="B2" s="38" t="s">
        <v>129</v>
      </c>
      <c r="C2" s="37" t="s">
        <v>130</v>
      </c>
      <c r="D2" s="37" t="s">
        <v>131</v>
      </c>
      <c r="E2" s="44">
        <f>SUM(I2,L2,O2,R2)</f>
        <v>8700000</v>
      </c>
      <c r="F2" s="52"/>
      <c r="G2" s="48" t="s">
        <v>133</v>
      </c>
      <c r="H2" s="37" t="s">
        <v>151</v>
      </c>
      <c r="I2" s="39">
        <v>3900000</v>
      </c>
      <c r="J2" s="39" t="s">
        <v>151</v>
      </c>
      <c r="K2" s="37" t="s">
        <v>15</v>
      </c>
      <c r="L2" s="39">
        <v>3800000</v>
      </c>
      <c r="M2" s="37" t="s">
        <v>451</v>
      </c>
      <c r="N2" s="37" t="s">
        <v>450</v>
      </c>
      <c r="O2" s="39">
        <v>1000000</v>
      </c>
      <c r="P2" s="37"/>
      <c r="Q2" s="37"/>
      <c r="R2" s="39"/>
      <c r="S2" s="37"/>
      <c r="T2" s="37"/>
      <c r="U2" s="62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45">
      <c r="A3" s="3">
        <v>2</v>
      </c>
      <c r="B3" s="8" t="s">
        <v>0</v>
      </c>
      <c r="C3" s="3" t="s">
        <v>11</v>
      </c>
      <c r="D3" s="3" t="s">
        <v>10</v>
      </c>
      <c r="E3" s="45">
        <f>SUM(I3,L3,O3,R3)</f>
        <v>7200000</v>
      </c>
      <c r="F3" s="52"/>
      <c r="G3" s="49" t="s">
        <v>133</v>
      </c>
      <c r="H3" s="3" t="s">
        <v>151</v>
      </c>
      <c r="I3" s="4">
        <v>3200000</v>
      </c>
      <c r="J3" s="3" t="s">
        <v>151</v>
      </c>
      <c r="K3" s="3" t="s">
        <v>3</v>
      </c>
      <c r="L3" s="4">
        <v>2000000</v>
      </c>
      <c r="M3" s="3" t="s">
        <v>151</v>
      </c>
      <c r="N3" s="3" t="s">
        <v>9</v>
      </c>
      <c r="O3" s="4">
        <v>2000000</v>
      </c>
      <c r="P3" s="3"/>
      <c r="Q3" s="3"/>
      <c r="R3" s="4"/>
      <c r="S3" s="3"/>
      <c r="T3" s="3"/>
      <c r="U3" s="63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x14ac:dyDescent="0.45">
      <c r="A4" s="3">
        <v>3</v>
      </c>
      <c r="B4" s="8" t="s">
        <v>12</v>
      </c>
      <c r="C4" s="3" t="s">
        <v>18</v>
      </c>
      <c r="D4" s="3" t="s">
        <v>13</v>
      </c>
      <c r="E4" s="45">
        <f t="shared" ref="E4:E21" si="0">SUM(O4,R4,L4,I4)</f>
        <v>9300000</v>
      </c>
      <c r="F4" s="52"/>
      <c r="G4" s="49" t="s">
        <v>14</v>
      </c>
      <c r="H4" s="3" t="s">
        <v>15</v>
      </c>
      <c r="I4" s="4">
        <v>3400000</v>
      </c>
      <c r="J4" s="4" t="s">
        <v>152</v>
      </c>
      <c r="K4" s="3" t="s">
        <v>15</v>
      </c>
      <c r="L4" s="4">
        <v>3400000</v>
      </c>
      <c r="M4" s="3" t="s">
        <v>153</v>
      </c>
      <c r="N4" s="3" t="s">
        <v>9</v>
      </c>
      <c r="O4" s="4">
        <v>2500000</v>
      </c>
      <c r="P4" s="3"/>
      <c r="Q4" s="3"/>
      <c r="R4" s="4"/>
      <c r="S4" s="3"/>
      <c r="T4" s="3"/>
      <c r="U4" s="63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x14ac:dyDescent="0.45">
      <c r="A5" s="3">
        <v>4</v>
      </c>
      <c r="B5" s="8" t="s">
        <v>17</v>
      </c>
      <c r="C5" s="3" t="s">
        <v>19</v>
      </c>
      <c r="D5" s="3" t="s">
        <v>286</v>
      </c>
      <c r="E5" s="45">
        <f t="shared" si="0"/>
        <v>11100000</v>
      </c>
      <c r="F5" s="52"/>
      <c r="G5" s="49" t="s">
        <v>20</v>
      </c>
      <c r="H5" s="3" t="s">
        <v>21</v>
      </c>
      <c r="I5" s="4">
        <v>3800000</v>
      </c>
      <c r="J5" s="4" t="s">
        <v>152</v>
      </c>
      <c r="K5" s="3" t="s">
        <v>15</v>
      </c>
      <c r="L5" s="4">
        <v>800000</v>
      </c>
      <c r="M5" s="3" t="s">
        <v>151</v>
      </c>
      <c r="N5" s="3" t="s">
        <v>22</v>
      </c>
      <c r="O5" s="4">
        <v>4000000</v>
      </c>
      <c r="P5" s="3" t="s">
        <v>152</v>
      </c>
      <c r="Q5" s="3" t="s">
        <v>9</v>
      </c>
      <c r="R5" s="4">
        <v>2500000</v>
      </c>
      <c r="S5" s="3"/>
      <c r="T5" s="3"/>
      <c r="U5" s="63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x14ac:dyDescent="0.45">
      <c r="A6" s="3">
        <v>5</v>
      </c>
      <c r="B6" s="8" t="s">
        <v>23</v>
      </c>
      <c r="C6" s="3" t="s">
        <v>24</v>
      </c>
      <c r="D6" s="3" t="s">
        <v>25</v>
      </c>
      <c r="E6" s="45">
        <f t="shared" si="0"/>
        <v>8400000</v>
      </c>
      <c r="F6" s="52"/>
      <c r="G6" s="49" t="s">
        <v>26</v>
      </c>
      <c r="H6" s="3" t="s">
        <v>27</v>
      </c>
      <c r="I6" s="4">
        <v>4100000</v>
      </c>
      <c r="J6" s="4" t="s">
        <v>26</v>
      </c>
      <c r="K6" s="3" t="s">
        <v>15</v>
      </c>
      <c r="L6" s="4">
        <v>4300000</v>
      </c>
      <c r="M6" s="3" t="s">
        <v>151</v>
      </c>
      <c r="N6" s="3"/>
      <c r="O6" s="4"/>
      <c r="P6" s="3"/>
      <c r="Q6" s="3"/>
      <c r="R6" s="4"/>
      <c r="S6" s="3"/>
      <c r="T6" s="3"/>
      <c r="U6" s="63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ht="17.149999999999999" customHeight="1" x14ac:dyDescent="0.45">
      <c r="A7" s="3">
        <v>6</v>
      </c>
      <c r="B7" s="8" t="s">
        <v>28</v>
      </c>
      <c r="C7" s="3" t="s">
        <v>29</v>
      </c>
      <c r="D7" s="3" t="s">
        <v>30</v>
      </c>
      <c r="E7" s="45">
        <f t="shared" si="0"/>
        <v>6300000</v>
      </c>
      <c r="F7" s="52"/>
      <c r="G7" s="49" t="s">
        <v>31</v>
      </c>
      <c r="H7" s="3" t="s">
        <v>15</v>
      </c>
      <c r="I7" s="4">
        <v>3500000</v>
      </c>
      <c r="J7" s="4" t="s">
        <v>141</v>
      </c>
      <c r="K7" s="3" t="s">
        <v>142</v>
      </c>
      <c r="L7" s="4">
        <v>2800000</v>
      </c>
      <c r="M7" s="3"/>
      <c r="N7" s="3"/>
      <c r="O7" s="4"/>
      <c r="P7" s="3"/>
      <c r="Q7" s="3"/>
      <c r="R7" s="4"/>
      <c r="S7" s="3"/>
      <c r="T7" s="3"/>
      <c r="U7" s="63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x14ac:dyDescent="0.45">
      <c r="A8" s="3">
        <v>7</v>
      </c>
      <c r="B8" s="8" t="s">
        <v>32</v>
      </c>
      <c r="C8" s="3" t="s">
        <v>33</v>
      </c>
      <c r="D8" s="3" t="s">
        <v>34</v>
      </c>
      <c r="E8" s="45">
        <f t="shared" si="0"/>
        <v>3500000</v>
      </c>
      <c r="F8" s="52"/>
      <c r="G8" s="49" t="s">
        <v>35</v>
      </c>
      <c r="H8" s="3" t="s">
        <v>22</v>
      </c>
      <c r="I8" s="4">
        <v>3500000</v>
      </c>
      <c r="J8" s="4"/>
      <c r="K8" s="3"/>
      <c r="L8" s="4"/>
      <c r="M8" s="3"/>
      <c r="N8" s="3"/>
      <c r="O8" s="4"/>
      <c r="P8" s="3"/>
      <c r="Q8" s="3"/>
      <c r="R8" s="4"/>
      <c r="S8" s="3"/>
      <c r="T8" s="3"/>
      <c r="U8" s="63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x14ac:dyDescent="0.45">
      <c r="A9" s="3">
        <v>8</v>
      </c>
      <c r="B9" s="8" t="s">
        <v>36</v>
      </c>
      <c r="C9" s="3" t="s">
        <v>38</v>
      </c>
      <c r="D9" s="3" t="s">
        <v>37</v>
      </c>
      <c r="E9" s="45">
        <f t="shared" si="0"/>
        <v>7500000</v>
      </c>
      <c r="F9" s="52"/>
      <c r="G9" s="49" t="s">
        <v>14</v>
      </c>
      <c r="H9" s="3" t="s">
        <v>39</v>
      </c>
      <c r="I9" s="4">
        <v>3000000</v>
      </c>
      <c r="J9" s="4" t="s">
        <v>40</v>
      </c>
      <c r="K9" s="3" t="s">
        <v>3</v>
      </c>
      <c r="L9" s="4">
        <v>4500000</v>
      </c>
      <c r="M9" s="3"/>
      <c r="N9" s="3"/>
      <c r="O9" s="4"/>
      <c r="P9" s="3"/>
      <c r="Q9" s="3"/>
      <c r="R9" s="4"/>
      <c r="S9" s="3"/>
      <c r="T9" s="3"/>
      <c r="U9" s="63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x14ac:dyDescent="0.45">
      <c r="A10" s="3">
        <v>9</v>
      </c>
      <c r="B10" s="8" t="s">
        <v>41</v>
      </c>
      <c r="C10" s="3" t="s">
        <v>155</v>
      </c>
      <c r="D10" s="3" t="s">
        <v>42</v>
      </c>
      <c r="E10" s="45">
        <f t="shared" si="0"/>
        <v>4500000</v>
      </c>
      <c r="F10" s="52"/>
      <c r="G10" s="49" t="s">
        <v>43</v>
      </c>
      <c r="H10" s="3" t="s">
        <v>15</v>
      </c>
      <c r="I10" s="4">
        <v>4500000</v>
      </c>
      <c r="J10" s="4"/>
      <c r="K10" s="3"/>
      <c r="L10" s="4"/>
      <c r="M10" s="3"/>
      <c r="N10" s="3"/>
      <c r="O10" s="4"/>
      <c r="P10" s="3"/>
      <c r="Q10" s="3"/>
      <c r="R10" s="4"/>
      <c r="S10" s="3"/>
      <c r="T10" s="3"/>
      <c r="U10" s="63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x14ac:dyDescent="0.45">
      <c r="A11" s="3">
        <v>10</v>
      </c>
      <c r="B11" s="8" t="s">
        <v>44</v>
      </c>
      <c r="C11" s="3" t="s">
        <v>90</v>
      </c>
      <c r="D11" s="3" t="s">
        <v>45</v>
      </c>
      <c r="E11" s="45">
        <f t="shared" si="0"/>
        <v>2200000</v>
      </c>
      <c r="F11" s="52"/>
      <c r="G11" s="49" t="s">
        <v>151</v>
      </c>
      <c r="H11" s="3" t="s">
        <v>9</v>
      </c>
      <c r="I11" s="4">
        <v>2200000</v>
      </c>
      <c r="J11" s="4"/>
      <c r="K11" s="3"/>
      <c r="L11" s="4"/>
      <c r="M11" s="3"/>
      <c r="N11" s="3"/>
      <c r="O11" s="4"/>
      <c r="P11" s="3"/>
      <c r="Q11" s="3"/>
      <c r="R11" s="4"/>
      <c r="S11" s="3"/>
      <c r="T11" s="3"/>
      <c r="U11" s="63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x14ac:dyDescent="0.45">
      <c r="A12" s="3">
        <v>11</v>
      </c>
      <c r="B12" s="8" t="s">
        <v>46</v>
      </c>
      <c r="C12" s="3" t="s">
        <v>154</v>
      </c>
      <c r="D12" s="3" t="s">
        <v>47</v>
      </c>
      <c r="E12" s="45">
        <f t="shared" si="0"/>
        <v>6000000</v>
      </c>
      <c r="F12" s="52"/>
      <c r="G12" s="49" t="s">
        <v>31</v>
      </c>
      <c r="H12" s="3" t="s">
        <v>48</v>
      </c>
      <c r="I12" s="4">
        <v>6000000</v>
      </c>
      <c r="J12" s="4"/>
      <c r="K12" s="3"/>
      <c r="L12" s="4"/>
      <c r="M12" s="3"/>
      <c r="N12" s="3"/>
      <c r="O12" s="4"/>
      <c r="P12" s="3"/>
      <c r="Q12" s="3"/>
      <c r="R12" s="4"/>
      <c r="S12" s="3"/>
      <c r="T12" s="3"/>
      <c r="U12" s="63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x14ac:dyDescent="0.45">
      <c r="A13" s="3">
        <v>12</v>
      </c>
      <c r="B13" s="8" t="s">
        <v>49</v>
      </c>
      <c r="C13" s="3" t="s">
        <v>50</v>
      </c>
      <c r="D13" s="3" t="s">
        <v>246</v>
      </c>
      <c r="E13" s="45">
        <f t="shared" si="0"/>
        <v>2800000</v>
      </c>
      <c r="F13" s="52"/>
      <c r="G13" s="49" t="s">
        <v>52</v>
      </c>
      <c r="H13" s="3" t="s">
        <v>39</v>
      </c>
      <c r="I13" s="4">
        <v>2800000</v>
      </c>
      <c r="J13" s="4"/>
      <c r="K13" s="3"/>
      <c r="L13" s="4"/>
      <c r="M13" s="3"/>
      <c r="N13" s="3"/>
      <c r="O13" s="4"/>
      <c r="P13" s="3"/>
      <c r="Q13" s="3"/>
      <c r="R13" s="4"/>
      <c r="S13" s="3"/>
      <c r="T13" s="3"/>
      <c r="U13" s="63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x14ac:dyDescent="0.45">
      <c r="A14" s="3">
        <v>13</v>
      </c>
      <c r="B14" s="8" t="s">
        <v>53</v>
      </c>
      <c r="C14" s="3" t="s">
        <v>56</v>
      </c>
      <c r="D14" s="3" t="s">
        <v>57</v>
      </c>
      <c r="E14" s="45">
        <f t="shared" si="0"/>
        <v>3500000</v>
      </c>
      <c r="F14" s="52"/>
      <c r="G14" s="49" t="s">
        <v>20</v>
      </c>
      <c r="H14" s="3" t="s">
        <v>54</v>
      </c>
      <c r="I14" s="4">
        <v>3500000</v>
      </c>
      <c r="J14" s="4"/>
      <c r="K14" s="3"/>
      <c r="L14" s="4"/>
      <c r="M14" s="3"/>
      <c r="N14" s="3"/>
      <c r="O14" s="4"/>
      <c r="P14" s="3"/>
      <c r="Q14" s="3"/>
      <c r="R14" s="4"/>
      <c r="S14" s="3"/>
      <c r="T14" s="3"/>
      <c r="U14" s="63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</row>
    <row r="15" spans="1:36" x14ac:dyDescent="0.45">
      <c r="A15" s="3">
        <v>14</v>
      </c>
      <c r="B15" s="8" t="s">
        <v>55</v>
      </c>
      <c r="C15" s="3" t="s">
        <v>88</v>
      </c>
      <c r="D15" s="3" t="s">
        <v>58</v>
      </c>
      <c r="E15" s="45">
        <f t="shared" si="0"/>
        <v>3000000</v>
      </c>
      <c r="F15" s="52"/>
      <c r="G15" s="49" t="s">
        <v>59</v>
      </c>
      <c r="H15" s="3" t="s">
        <v>39</v>
      </c>
      <c r="I15" s="4">
        <v>3000000</v>
      </c>
      <c r="J15" s="4"/>
      <c r="K15" s="3"/>
      <c r="L15" s="4"/>
      <c r="M15" s="3"/>
      <c r="N15" s="3"/>
      <c r="O15" s="4"/>
      <c r="P15" s="3"/>
      <c r="Q15" s="3"/>
      <c r="R15" s="4"/>
      <c r="S15" s="3"/>
      <c r="T15" s="3"/>
      <c r="U15" s="63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</row>
    <row r="16" spans="1:36" x14ac:dyDescent="0.45">
      <c r="A16" s="3">
        <v>15</v>
      </c>
      <c r="B16" s="8" t="s">
        <v>60</v>
      </c>
      <c r="C16" s="3" t="s">
        <v>61</v>
      </c>
      <c r="D16" s="3" t="s">
        <v>284</v>
      </c>
      <c r="E16" s="45">
        <f t="shared" si="0"/>
        <v>11000000</v>
      </c>
      <c r="F16" s="52"/>
      <c r="G16" s="49" t="s">
        <v>14</v>
      </c>
      <c r="H16" s="3" t="s">
        <v>15</v>
      </c>
      <c r="I16" s="4">
        <v>3200000</v>
      </c>
      <c r="J16" s="8" t="s">
        <v>151</v>
      </c>
      <c r="K16" s="3" t="s">
        <v>39</v>
      </c>
      <c r="L16" s="4">
        <v>3800000</v>
      </c>
      <c r="M16" s="4" t="s">
        <v>63</v>
      </c>
      <c r="N16" s="3" t="s">
        <v>64</v>
      </c>
      <c r="O16" s="4">
        <v>4000000</v>
      </c>
      <c r="P16" s="3"/>
      <c r="Q16" s="3"/>
      <c r="R16" s="4"/>
      <c r="S16" s="3"/>
      <c r="T16" s="3"/>
      <c r="U16" s="63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</row>
    <row r="17" spans="1:36" x14ac:dyDescent="0.45">
      <c r="A17" s="3">
        <v>16</v>
      </c>
      <c r="B17" s="8" t="s">
        <v>65</v>
      </c>
      <c r="C17" s="3" t="s">
        <v>66</v>
      </c>
      <c r="D17" s="6" t="s">
        <v>67</v>
      </c>
      <c r="E17" s="45">
        <f t="shared" si="0"/>
        <v>3300000</v>
      </c>
      <c r="F17" s="52"/>
      <c r="G17" s="49" t="s">
        <v>68</v>
      </c>
      <c r="H17" s="3" t="s">
        <v>3</v>
      </c>
      <c r="I17" s="4">
        <v>3300000</v>
      </c>
      <c r="J17" s="4"/>
      <c r="K17" s="3"/>
      <c r="L17" s="4"/>
      <c r="M17" s="3"/>
      <c r="N17" s="3"/>
      <c r="O17" s="4"/>
      <c r="P17" s="3"/>
      <c r="Q17" s="3"/>
      <c r="R17" s="4"/>
      <c r="S17" s="3"/>
      <c r="T17" s="3"/>
      <c r="U17" s="63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</row>
    <row r="18" spans="1:36" x14ac:dyDescent="0.45">
      <c r="A18" s="3">
        <v>17</v>
      </c>
      <c r="B18" s="8" t="s">
        <v>69</v>
      </c>
      <c r="C18" s="3" t="s">
        <v>70</v>
      </c>
      <c r="D18" s="7" t="s">
        <v>71</v>
      </c>
      <c r="E18" s="45">
        <f t="shared" si="0"/>
        <v>3300000</v>
      </c>
      <c r="F18" s="52"/>
      <c r="G18" s="49" t="s">
        <v>145</v>
      </c>
      <c r="H18" s="3" t="s">
        <v>15</v>
      </c>
      <c r="I18" s="4">
        <v>3300000</v>
      </c>
      <c r="J18" s="4"/>
      <c r="K18" s="3"/>
      <c r="L18" s="4"/>
      <c r="M18" s="3"/>
      <c r="N18" s="3"/>
      <c r="O18" s="4"/>
      <c r="P18" s="3"/>
      <c r="Q18" s="3"/>
      <c r="R18" s="4"/>
      <c r="S18" s="3"/>
      <c r="T18" s="3"/>
      <c r="U18" s="63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</row>
    <row r="19" spans="1:36" x14ac:dyDescent="0.45">
      <c r="A19" s="3">
        <v>18</v>
      </c>
      <c r="B19" s="8" t="s">
        <v>72</v>
      </c>
      <c r="C19" s="3" t="s">
        <v>74</v>
      </c>
      <c r="D19" s="7" t="s">
        <v>73</v>
      </c>
      <c r="E19" s="45">
        <f t="shared" si="0"/>
        <v>4500000</v>
      </c>
      <c r="F19" s="52"/>
      <c r="G19" s="49" t="s">
        <v>75</v>
      </c>
      <c r="H19" s="3" t="s">
        <v>22</v>
      </c>
      <c r="I19" s="4">
        <v>4500000</v>
      </c>
      <c r="J19" s="4"/>
      <c r="K19" s="3"/>
      <c r="L19" s="4"/>
      <c r="M19" s="3"/>
      <c r="N19" s="3"/>
      <c r="O19" s="4"/>
      <c r="P19" s="3"/>
      <c r="Q19" s="3"/>
      <c r="R19" s="4"/>
      <c r="S19" s="3"/>
      <c r="T19" s="3"/>
      <c r="U19" s="63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</row>
    <row r="20" spans="1:36" x14ac:dyDescent="0.45">
      <c r="A20" s="3">
        <v>19</v>
      </c>
      <c r="B20" s="8" t="s">
        <v>139</v>
      </c>
      <c r="C20" s="3" t="s">
        <v>89</v>
      </c>
      <c r="D20" s="7" t="s">
        <v>76</v>
      </c>
      <c r="E20" s="45">
        <f t="shared" si="0"/>
        <v>4200000</v>
      </c>
      <c r="F20" s="52"/>
      <c r="G20" s="49" t="s">
        <v>75</v>
      </c>
      <c r="H20" s="3" t="s">
        <v>4</v>
      </c>
      <c r="I20" s="4">
        <v>4200000</v>
      </c>
      <c r="J20" s="4"/>
      <c r="K20" s="3"/>
      <c r="L20" s="4"/>
      <c r="M20" s="3"/>
      <c r="N20" s="3"/>
      <c r="O20" s="4"/>
      <c r="P20" s="3"/>
      <c r="Q20" s="3"/>
      <c r="R20" s="4"/>
      <c r="S20" s="3"/>
      <c r="T20" s="3"/>
      <c r="U20" s="63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</row>
    <row r="21" spans="1:36" x14ac:dyDescent="0.45">
      <c r="A21" s="3">
        <v>20</v>
      </c>
      <c r="B21" s="8" t="s">
        <v>77</v>
      </c>
      <c r="C21" s="3" t="s">
        <v>439</v>
      </c>
      <c r="D21" s="7" t="s">
        <v>78</v>
      </c>
      <c r="E21" s="45">
        <f t="shared" si="0"/>
        <v>4200000</v>
      </c>
      <c r="F21" s="52"/>
      <c r="G21" s="49" t="s">
        <v>43</v>
      </c>
      <c r="H21" s="3" t="s">
        <v>39</v>
      </c>
      <c r="I21" s="4">
        <v>4200000</v>
      </c>
      <c r="J21" s="4"/>
      <c r="K21" s="3"/>
      <c r="L21" s="4"/>
      <c r="M21" s="3"/>
      <c r="N21" s="3"/>
      <c r="O21" s="4"/>
      <c r="P21" s="3"/>
      <c r="Q21" s="3"/>
      <c r="R21" s="4"/>
      <c r="S21" s="3"/>
      <c r="T21" s="3"/>
      <c r="U21" s="63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</row>
    <row r="22" spans="1:36" x14ac:dyDescent="0.45">
      <c r="A22" s="3">
        <v>21</v>
      </c>
      <c r="B22" s="8" t="s">
        <v>79</v>
      </c>
      <c r="C22" s="7" t="s">
        <v>80</v>
      </c>
      <c r="D22" s="6" t="s">
        <v>81</v>
      </c>
      <c r="E22" s="45">
        <f t="shared" ref="E22:E32" si="1">SUM(I22,L22,O22,R22,U22)</f>
        <v>10300000</v>
      </c>
      <c r="F22" s="52"/>
      <c r="G22" s="49" t="s">
        <v>145</v>
      </c>
      <c r="H22" s="3" t="s">
        <v>82</v>
      </c>
      <c r="I22" s="4">
        <v>3000000</v>
      </c>
      <c r="J22" s="4" t="s">
        <v>145</v>
      </c>
      <c r="K22" s="3" t="s">
        <v>147</v>
      </c>
      <c r="L22" s="4">
        <v>2300000</v>
      </c>
      <c r="M22" s="3" t="s">
        <v>152</v>
      </c>
      <c r="N22" s="3" t="s">
        <v>22</v>
      </c>
      <c r="O22" s="4">
        <v>2750000</v>
      </c>
      <c r="P22" s="3" t="s">
        <v>151</v>
      </c>
      <c r="Q22" s="3" t="s">
        <v>22</v>
      </c>
      <c r="R22" s="4">
        <v>1250000</v>
      </c>
      <c r="S22" s="3" t="s">
        <v>150</v>
      </c>
      <c r="T22" s="3" t="s">
        <v>151</v>
      </c>
      <c r="U22" s="63">
        <v>1000000</v>
      </c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</row>
    <row r="23" spans="1:36" x14ac:dyDescent="0.45">
      <c r="A23" s="3">
        <v>22</v>
      </c>
      <c r="B23" s="8" t="s">
        <v>83</v>
      </c>
      <c r="C23" s="7" t="s">
        <v>86</v>
      </c>
      <c r="D23" s="6" t="s">
        <v>84</v>
      </c>
      <c r="E23" s="45">
        <f t="shared" si="1"/>
        <v>4400000</v>
      </c>
      <c r="F23" s="52"/>
      <c r="G23" s="49" t="s">
        <v>151</v>
      </c>
      <c r="H23" s="3" t="s">
        <v>85</v>
      </c>
      <c r="I23" s="4">
        <v>4400000</v>
      </c>
      <c r="J23" s="4"/>
      <c r="K23" s="3"/>
      <c r="L23" s="4"/>
      <c r="M23" s="3"/>
      <c r="N23" s="3"/>
      <c r="O23" s="4"/>
      <c r="P23" s="3"/>
      <c r="Q23" s="3"/>
      <c r="R23" s="4"/>
      <c r="S23" s="3"/>
      <c r="T23" s="3"/>
      <c r="U23" s="63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</row>
    <row r="24" spans="1:36" x14ac:dyDescent="0.45">
      <c r="A24" s="3">
        <v>23</v>
      </c>
      <c r="B24" s="8" t="s">
        <v>91</v>
      </c>
      <c r="C24" s="7" t="s">
        <v>87</v>
      </c>
      <c r="D24" s="6" t="s">
        <v>92</v>
      </c>
      <c r="E24" s="45">
        <f t="shared" si="1"/>
        <v>4400000</v>
      </c>
      <c r="F24" s="52"/>
      <c r="G24" s="49" t="s">
        <v>151</v>
      </c>
      <c r="H24" s="3" t="s">
        <v>85</v>
      </c>
      <c r="I24" s="4">
        <v>4400000</v>
      </c>
      <c r="J24" s="4"/>
      <c r="K24" s="3"/>
      <c r="L24" s="4"/>
      <c r="M24" s="3"/>
      <c r="N24" s="3"/>
      <c r="O24" s="4"/>
      <c r="P24" s="3"/>
      <c r="Q24" s="3"/>
      <c r="R24" s="4"/>
      <c r="S24" s="3"/>
      <c r="T24" s="3"/>
      <c r="U24" s="63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</row>
    <row r="25" spans="1:36" x14ac:dyDescent="0.45">
      <c r="A25" s="3">
        <v>24</v>
      </c>
      <c r="B25" s="8" t="s">
        <v>93</v>
      </c>
      <c r="C25" s="7" t="s">
        <v>94</v>
      </c>
      <c r="D25" s="6" t="s">
        <v>234</v>
      </c>
      <c r="E25" s="45">
        <f t="shared" si="1"/>
        <v>5300000</v>
      </c>
      <c r="F25" s="52"/>
      <c r="G25" s="49" t="s">
        <v>96</v>
      </c>
      <c r="H25" s="3" t="s">
        <v>146</v>
      </c>
      <c r="I25" s="4">
        <v>1300000</v>
      </c>
      <c r="J25" s="4" t="s">
        <v>146</v>
      </c>
      <c r="K25" s="3" t="s">
        <v>22</v>
      </c>
      <c r="L25" s="4">
        <v>4000000</v>
      </c>
      <c r="M25" s="3"/>
      <c r="N25" s="3"/>
      <c r="O25" s="4"/>
      <c r="P25" s="3"/>
      <c r="Q25" s="3"/>
      <c r="R25" s="4"/>
      <c r="S25" s="3"/>
      <c r="T25" s="3"/>
      <c r="U25" s="63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</row>
    <row r="26" spans="1:36" x14ac:dyDescent="0.45">
      <c r="A26" s="3">
        <v>25</v>
      </c>
      <c r="B26" s="8" t="s">
        <v>97</v>
      </c>
      <c r="C26" s="3" t="s">
        <v>98</v>
      </c>
      <c r="D26" s="7" t="s">
        <v>37</v>
      </c>
      <c r="E26" s="45">
        <f t="shared" si="1"/>
        <v>12900000</v>
      </c>
      <c r="F26" s="52"/>
      <c r="G26" s="49" t="s">
        <v>14</v>
      </c>
      <c r="H26" s="3" t="s">
        <v>22</v>
      </c>
      <c r="I26" s="4">
        <v>3400000</v>
      </c>
      <c r="J26" s="4" t="s">
        <v>26</v>
      </c>
      <c r="K26" s="3" t="s">
        <v>99</v>
      </c>
      <c r="L26" s="4">
        <v>5000000</v>
      </c>
      <c r="M26" s="3" t="s">
        <v>26</v>
      </c>
      <c r="N26" s="3" t="s">
        <v>9</v>
      </c>
      <c r="O26" s="4">
        <v>4500000</v>
      </c>
      <c r="P26" s="3"/>
      <c r="Q26" s="3"/>
      <c r="R26" s="4"/>
      <c r="S26" s="3"/>
      <c r="T26" s="3"/>
      <c r="U26" s="63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</row>
    <row r="27" spans="1:36" x14ac:dyDescent="0.45">
      <c r="A27" s="3">
        <v>26</v>
      </c>
      <c r="B27" s="8" t="s">
        <v>100</v>
      </c>
      <c r="C27" s="6" t="s">
        <v>101</v>
      </c>
      <c r="D27" s="6" t="s">
        <v>102</v>
      </c>
      <c r="E27" s="45">
        <f t="shared" si="1"/>
        <v>4000000</v>
      </c>
      <c r="F27" s="52"/>
      <c r="G27" s="49" t="s">
        <v>31</v>
      </c>
      <c r="H27" s="3" t="s">
        <v>9</v>
      </c>
      <c r="I27" s="4">
        <v>4000000</v>
      </c>
      <c r="J27" s="4"/>
      <c r="K27" s="3"/>
      <c r="L27" s="4"/>
      <c r="M27" s="3"/>
      <c r="N27" s="3"/>
      <c r="O27" s="4"/>
      <c r="P27" s="3"/>
      <c r="Q27" s="3"/>
      <c r="R27" s="4"/>
      <c r="S27" s="3"/>
      <c r="T27" s="3"/>
      <c r="U27" s="63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</row>
    <row r="28" spans="1:36" x14ac:dyDescent="0.45">
      <c r="A28" s="3">
        <v>27</v>
      </c>
      <c r="B28" s="8" t="s">
        <v>103</v>
      </c>
      <c r="C28" s="7" t="s">
        <v>104</v>
      </c>
      <c r="D28" s="7" t="s">
        <v>105</v>
      </c>
      <c r="E28" s="45">
        <f t="shared" si="1"/>
        <v>3500000</v>
      </c>
      <c r="F28" s="52"/>
      <c r="G28" s="49" t="s">
        <v>20</v>
      </c>
      <c r="H28" s="3" t="s">
        <v>106</v>
      </c>
      <c r="I28" s="4">
        <v>3500000</v>
      </c>
      <c r="J28" s="4"/>
      <c r="K28" s="3"/>
      <c r="L28" s="4"/>
      <c r="M28" s="3"/>
      <c r="N28" s="3"/>
      <c r="O28" s="4"/>
      <c r="P28" s="3"/>
      <c r="Q28" s="3"/>
      <c r="R28" s="4"/>
      <c r="S28" s="3"/>
      <c r="T28" s="3"/>
      <c r="U28" s="63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</row>
    <row r="29" spans="1:36" x14ac:dyDescent="0.45">
      <c r="A29" s="3">
        <v>28</v>
      </c>
      <c r="B29" s="8" t="s">
        <v>107</v>
      </c>
      <c r="C29" s="7" t="s">
        <v>108</v>
      </c>
      <c r="D29" s="7" t="s">
        <v>109</v>
      </c>
      <c r="E29" s="45">
        <f t="shared" si="1"/>
        <v>3800000</v>
      </c>
      <c r="F29" s="52"/>
      <c r="G29" s="49" t="s">
        <v>68</v>
      </c>
      <c r="H29" s="3" t="s">
        <v>22</v>
      </c>
      <c r="I29" s="4">
        <v>3800000</v>
      </c>
      <c r="J29" s="4"/>
      <c r="K29" s="3"/>
      <c r="L29" s="4"/>
      <c r="M29" s="3"/>
      <c r="N29" s="3"/>
      <c r="O29" s="4"/>
      <c r="P29" s="3"/>
      <c r="Q29" s="3"/>
      <c r="R29" s="4"/>
      <c r="S29" s="3"/>
      <c r="T29" s="3"/>
      <c r="U29" s="63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</row>
    <row r="30" spans="1:36" x14ac:dyDescent="0.45">
      <c r="A30" s="3">
        <v>29</v>
      </c>
      <c r="B30" s="8" t="s">
        <v>110</v>
      </c>
      <c r="C30" s="6" t="s">
        <v>113</v>
      </c>
      <c r="D30" s="6" t="s">
        <v>111</v>
      </c>
      <c r="E30" s="45">
        <f t="shared" si="1"/>
        <v>4000000</v>
      </c>
      <c r="F30" s="52"/>
      <c r="G30" s="49" t="s">
        <v>20</v>
      </c>
      <c r="H30" s="3" t="s">
        <v>112</v>
      </c>
      <c r="I30" s="4">
        <v>4000000</v>
      </c>
      <c r="J30" s="4"/>
      <c r="K30" s="3"/>
      <c r="L30" s="4"/>
      <c r="M30" s="3"/>
      <c r="N30" s="3"/>
      <c r="O30" s="4"/>
      <c r="P30" s="3"/>
      <c r="Q30" s="3"/>
      <c r="R30" s="4"/>
      <c r="S30" s="3"/>
      <c r="T30" s="3"/>
      <c r="U30" s="63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</row>
    <row r="31" spans="1:36" x14ac:dyDescent="0.45">
      <c r="A31" s="3">
        <v>30</v>
      </c>
      <c r="B31" s="8" t="s">
        <v>114</v>
      </c>
      <c r="C31" s="7" t="s">
        <v>115</v>
      </c>
      <c r="D31" s="6" t="s">
        <v>116</v>
      </c>
      <c r="E31" s="45">
        <f t="shared" si="1"/>
        <v>6700000</v>
      </c>
      <c r="F31" s="52"/>
      <c r="G31" s="49" t="s">
        <v>117</v>
      </c>
      <c r="H31" s="3" t="s">
        <v>151</v>
      </c>
      <c r="I31" s="4">
        <v>3500000</v>
      </c>
      <c r="J31" s="4" t="s">
        <v>145</v>
      </c>
      <c r="K31" s="3" t="s">
        <v>22</v>
      </c>
      <c r="L31" s="4">
        <v>3200000</v>
      </c>
      <c r="M31" s="3"/>
      <c r="N31" s="3"/>
      <c r="O31" s="4"/>
      <c r="P31" s="3"/>
      <c r="Q31" s="3"/>
      <c r="R31" s="4"/>
      <c r="S31" s="3"/>
      <c r="T31" s="3"/>
      <c r="U31" s="63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</row>
    <row r="32" spans="1:36" x14ac:dyDescent="0.45">
      <c r="A32" s="3">
        <v>31</v>
      </c>
      <c r="B32" s="8" t="s">
        <v>118</v>
      </c>
      <c r="C32" s="7" t="s">
        <v>119</v>
      </c>
      <c r="D32" s="7" t="s">
        <v>120</v>
      </c>
      <c r="E32" s="45">
        <f t="shared" si="1"/>
        <v>4100000</v>
      </c>
      <c r="F32" s="52"/>
      <c r="G32" s="49" t="s">
        <v>151</v>
      </c>
      <c r="H32" s="3" t="s">
        <v>3</v>
      </c>
      <c r="I32" s="4">
        <v>2000000</v>
      </c>
      <c r="J32" s="3" t="s">
        <v>151</v>
      </c>
      <c r="K32" s="3" t="s">
        <v>9</v>
      </c>
      <c r="L32" s="4">
        <v>2100000</v>
      </c>
      <c r="M32" s="3"/>
      <c r="N32" s="3"/>
      <c r="O32" s="4"/>
      <c r="P32" s="3"/>
      <c r="Q32" s="3"/>
      <c r="R32" s="4"/>
      <c r="S32" s="3"/>
      <c r="T32" s="3"/>
      <c r="U32" s="63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</row>
    <row r="33" spans="1:36" x14ac:dyDescent="0.45">
      <c r="A33" s="3">
        <v>32</v>
      </c>
      <c r="B33" s="8" t="s">
        <v>121</v>
      </c>
      <c r="C33" s="7" t="s">
        <v>122</v>
      </c>
      <c r="D33" s="6" t="s">
        <v>230</v>
      </c>
      <c r="E33" s="45">
        <f>SUM(I33,L33,O33)</f>
        <v>10200000</v>
      </c>
      <c r="F33" s="52"/>
      <c r="G33" s="49" t="s">
        <v>133</v>
      </c>
      <c r="H33" s="3" t="s">
        <v>151</v>
      </c>
      <c r="I33" s="4">
        <v>3200000</v>
      </c>
      <c r="J33" s="4" t="s">
        <v>145</v>
      </c>
      <c r="K33" s="3" t="s">
        <v>149</v>
      </c>
      <c r="L33" s="4">
        <v>3200000</v>
      </c>
      <c r="M33" s="3" t="s">
        <v>20</v>
      </c>
      <c r="N33" s="3" t="s">
        <v>124</v>
      </c>
      <c r="O33" s="4">
        <v>3800000</v>
      </c>
      <c r="P33" s="3"/>
      <c r="Q33" s="3"/>
      <c r="R33" s="4"/>
      <c r="S33" s="3"/>
      <c r="T33" s="3"/>
      <c r="U33" s="63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</row>
    <row r="34" spans="1:36" x14ac:dyDescent="0.45">
      <c r="A34" s="9">
        <v>33</v>
      </c>
      <c r="B34" s="10" t="s">
        <v>125</v>
      </c>
      <c r="C34" s="11" t="s">
        <v>126</v>
      </c>
      <c r="D34" s="12" t="s">
        <v>127</v>
      </c>
      <c r="E34" s="46">
        <f>SUM(I34,L34,O34)</f>
        <v>4300000</v>
      </c>
      <c r="F34" s="52"/>
      <c r="G34" s="50" t="s">
        <v>145</v>
      </c>
      <c r="H34" s="9" t="s">
        <v>148</v>
      </c>
      <c r="I34" s="13">
        <v>2500000</v>
      </c>
      <c r="J34" s="4" t="s">
        <v>152</v>
      </c>
      <c r="K34" s="9" t="s">
        <v>3</v>
      </c>
      <c r="L34" s="13">
        <v>1800000</v>
      </c>
      <c r="M34" s="9"/>
      <c r="N34" s="9"/>
      <c r="O34" s="13"/>
      <c r="P34" s="9"/>
      <c r="Q34" s="9"/>
      <c r="R34" s="13"/>
      <c r="S34" s="9"/>
      <c r="T34" s="9"/>
      <c r="U34" s="64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</row>
    <row r="35" spans="1:36" x14ac:dyDescent="0.45">
      <c r="A35" s="3">
        <v>34</v>
      </c>
      <c r="B35" s="10" t="s">
        <v>257</v>
      </c>
      <c r="C35" s="11" t="s">
        <v>258</v>
      </c>
      <c r="D35" s="12" t="s">
        <v>259</v>
      </c>
      <c r="E35" s="46">
        <f>SUM(I35,L35,O35)</f>
        <v>4500000</v>
      </c>
      <c r="F35" s="52"/>
      <c r="G35" s="50" t="s">
        <v>260</v>
      </c>
      <c r="H35" s="9" t="s">
        <v>261</v>
      </c>
      <c r="I35" s="13">
        <v>4500000</v>
      </c>
      <c r="J35" s="4"/>
      <c r="K35" s="9"/>
      <c r="L35" s="13"/>
      <c r="M35" s="9"/>
      <c r="N35" s="9"/>
      <c r="O35" s="13"/>
      <c r="P35" s="9"/>
      <c r="Q35" s="9"/>
      <c r="R35" s="13"/>
      <c r="S35" s="9"/>
      <c r="T35" s="9"/>
      <c r="U35" s="64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</row>
    <row r="36" spans="1:36" x14ac:dyDescent="0.45">
      <c r="A36" s="3">
        <v>35</v>
      </c>
      <c r="B36" s="10" t="s">
        <v>263</v>
      </c>
      <c r="C36" s="11" t="s">
        <v>265</v>
      </c>
      <c r="D36" s="12" t="s">
        <v>266</v>
      </c>
      <c r="E36" s="46">
        <f>SUM(I36,L36,O36)</f>
        <v>1975384</v>
      </c>
      <c r="F36" s="52"/>
      <c r="G36" s="50" t="s">
        <v>260</v>
      </c>
      <c r="H36" s="9" t="s">
        <v>264</v>
      </c>
      <c r="I36" s="13">
        <v>1975384</v>
      </c>
      <c r="J36" s="4">
        <v>4800000</v>
      </c>
      <c r="K36" s="3"/>
      <c r="L36" s="4"/>
      <c r="M36" s="3"/>
      <c r="N36" s="3"/>
      <c r="O36" s="4"/>
      <c r="P36" s="3"/>
      <c r="Q36" s="3"/>
      <c r="R36" s="4"/>
      <c r="S36" s="3"/>
      <c r="T36" s="3"/>
      <c r="U36" s="63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</row>
    <row r="37" spans="1:36" x14ac:dyDescent="0.45">
      <c r="A37" s="9">
        <v>36</v>
      </c>
      <c r="B37" s="3"/>
      <c r="C37" s="3"/>
      <c r="D37" s="3"/>
      <c r="E37" s="16"/>
      <c r="F37" s="53"/>
      <c r="G37" s="49"/>
      <c r="H37" s="3"/>
      <c r="I37" s="4"/>
      <c r="J37" s="4"/>
      <c r="K37" s="3"/>
      <c r="L37" s="4"/>
      <c r="M37" s="3"/>
      <c r="N37" s="3"/>
      <c r="O37" s="4"/>
      <c r="P37" s="3"/>
      <c r="Q37" s="3"/>
      <c r="R37" s="4"/>
      <c r="S37" s="3"/>
      <c r="T37" s="3"/>
      <c r="U37" s="63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</row>
    <row r="38" spans="1:36" x14ac:dyDescent="0.45">
      <c r="A38" s="3">
        <v>37</v>
      </c>
      <c r="B38" s="3"/>
      <c r="C38" s="3"/>
      <c r="D38" s="3"/>
      <c r="E38" s="16"/>
      <c r="F38" s="53"/>
      <c r="G38" s="49"/>
      <c r="H38" s="3"/>
      <c r="I38" s="4"/>
      <c r="J38" s="4"/>
      <c r="K38" s="3"/>
      <c r="L38" s="4"/>
      <c r="M38" s="3"/>
      <c r="N38" s="3"/>
      <c r="O38" s="4"/>
      <c r="P38" s="3"/>
      <c r="Q38" s="3"/>
      <c r="R38" s="4"/>
      <c r="S38" s="3"/>
      <c r="T38" s="3"/>
      <c r="U38" s="63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</row>
    <row r="39" spans="1:36" x14ac:dyDescent="0.45">
      <c r="A39" s="3">
        <v>38</v>
      </c>
      <c r="B39" s="3"/>
      <c r="C39" s="3"/>
      <c r="D39" s="3"/>
      <c r="E39" s="16"/>
      <c r="F39" s="53"/>
      <c r="G39" s="49"/>
      <c r="H39" s="3"/>
      <c r="I39" s="4"/>
      <c r="J39" s="4"/>
      <c r="K39" s="3"/>
      <c r="L39" s="4"/>
      <c r="M39" s="3"/>
      <c r="N39" s="3"/>
      <c r="O39" s="4"/>
      <c r="P39" s="3"/>
      <c r="Q39" s="3"/>
      <c r="R39" s="4"/>
      <c r="S39" s="3"/>
      <c r="T39" s="3"/>
      <c r="U39" s="63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</row>
    <row r="40" spans="1:36" x14ac:dyDescent="0.45">
      <c r="A40" s="9">
        <v>39</v>
      </c>
      <c r="B40" s="3"/>
      <c r="C40" s="3"/>
      <c r="D40" s="3"/>
      <c r="E40" s="16"/>
      <c r="F40" s="53"/>
      <c r="G40" s="49"/>
      <c r="H40" s="3"/>
      <c r="I40" s="4"/>
      <c r="J40" s="4"/>
      <c r="K40" s="3"/>
      <c r="L40" s="4"/>
      <c r="M40" s="3"/>
      <c r="N40" s="3"/>
      <c r="O40" s="4"/>
      <c r="P40" s="3"/>
      <c r="Q40" s="3"/>
      <c r="R40" s="4"/>
      <c r="S40" s="3"/>
      <c r="T40" s="3"/>
      <c r="U40" s="63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</row>
    <row r="41" spans="1:36" x14ac:dyDescent="0.45">
      <c r="B41" s="3"/>
      <c r="C41" s="3"/>
      <c r="D41" s="3"/>
      <c r="E41" s="16"/>
      <c r="F41" s="53"/>
      <c r="G41" s="49"/>
      <c r="H41" s="3"/>
      <c r="I41" s="4"/>
      <c r="J41" s="4"/>
      <c r="K41" s="3"/>
      <c r="L41" s="4"/>
      <c r="M41" s="3"/>
      <c r="N41" s="3"/>
      <c r="O41" s="4"/>
      <c r="P41" s="3"/>
      <c r="Q41" s="3"/>
      <c r="R41" s="4"/>
      <c r="S41" s="3"/>
      <c r="T41" s="3"/>
      <c r="U41" s="63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</row>
    <row r="42" spans="1:36" x14ac:dyDescent="0.45">
      <c r="B42" s="3"/>
      <c r="C42" s="3"/>
      <c r="D42" s="3"/>
      <c r="E42" s="16"/>
      <c r="F42" s="53"/>
      <c r="G42" s="49"/>
      <c r="H42" s="3"/>
      <c r="I42" s="4"/>
      <c r="J42" s="4"/>
      <c r="K42" s="3"/>
      <c r="L42" s="4"/>
      <c r="M42" s="3"/>
      <c r="N42" s="3"/>
      <c r="O42" s="4"/>
      <c r="P42" s="3"/>
      <c r="Q42" s="3"/>
      <c r="R42" s="4"/>
      <c r="S42" s="3"/>
      <c r="T42" s="3"/>
      <c r="U42" s="63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</row>
    <row r="43" spans="1:36" x14ac:dyDescent="0.45">
      <c r="B43" s="3"/>
      <c r="C43" s="3"/>
      <c r="D43" s="3"/>
      <c r="E43" s="16"/>
      <c r="F43" s="53"/>
      <c r="G43" s="49"/>
      <c r="H43" s="3"/>
      <c r="I43" s="4"/>
      <c r="J43" s="4"/>
      <c r="K43" s="3"/>
      <c r="L43" s="4"/>
      <c r="M43" s="3"/>
      <c r="N43" s="3"/>
      <c r="O43" s="4"/>
      <c r="P43" s="3"/>
      <c r="Q43" s="3"/>
      <c r="R43" s="4"/>
      <c r="S43" s="3"/>
      <c r="T43" s="3"/>
      <c r="U43" s="63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</row>
    <row r="44" spans="1:36" x14ac:dyDescent="0.45">
      <c r="B44" s="3"/>
      <c r="C44" s="3"/>
      <c r="D44" s="3"/>
      <c r="E44" s="16"/>
      <c r="F44" s="53"/>
      <c r="G44" s="49"/>
      <c r="H44" s="3"/>
      <c r="I44" s="4"/>
      <c r="J44" s="4"/>
      <c r="K44" s="3"/>
      <c r="L44" s="4"/>
      <c r="M44" s="3"/>
      <c r="N44" s="3"/>
      <c r="O44" s="4"/>
      <c r="P44" s="3"/>
      <c r="Q44" s="3"/>
      <c r="R44" s="4"/>
      <c r="S44" s="3"/>
      <c r="T44" s="3"/>
      <c r="U44" s="63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</row>
    <row r="45" spans="1:36" x14ac:dyDescent="0.45">
      <c r="B45" s="3" t="s">
        <v>256</v>
      </c>
      <c r="C45" s="3"/>
      <c r="D45" s="3"/>
      <c r="E45" s="16">
        <f>SUM(E2:E44)</f>
        <v>198875384</v>
      </c>
      <c r="F45" s="53"/>
      <c r="G45" s="49"/>
      <c r="H45" s="3"/>
      <c r="I45" s="4"/>
      <c r="J45" s="4"/>
      <c r="K45" s="3"/>
      <c r="L45" s="4"/>
      <c r="M45" s="3"/>
      <c r="N45" s="3"/>
      <c r="O45" s="4"/>
      <c r="P45" s="3"/>
      <c r="Q45" s="3"/>
      <c r="R45" s="4"/>
      <c r="S45" s="3"/>
      <c r="T45" s="3"/>
      <c r="U45" s="63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</row>
    <row r="46" spans="1:36" x14ac:dyDescent="0.45">
      <c r="A46" s="9"/>
      <c r="B46" s="9"/>
      <c r="C46" s="9"/>
      <c r="D46" s="9"/>
      <c r="E46" s="40">
        <f>E45*12</f>
        <v>2386504608</v>
      </c>
      <c r="F46" s="53"/>
      <c r="G46" s="49"/>
      <c r="H46" s="3"/>
      <c r="I46" s="4"/>
      <c r="J46" s="4"/>
      <c r="K46" s="3"/>
      <c r="L46" s="4"/>
      <c r="M46" s="3"/>
      <c r="N46" s="3"/>
      <c r="O46" s="4"/>
      <c r="P46" s="3"/>
      <c r="Q46" s="3"/>
      <c r="R46" s="4"/>
      <c r="S46" s="3"/>
      <c r="T46" s="3"/>
      <c r="U46" s="63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</row>
    <row r="47" spans="1:36" x14ac:dyDescent="0.45">
      <c r="A47" s="42"/>
      <c r="B47" s="42"/>
      <c r="C47" s="42"/>
      <c r="D47" s="42"/>
      <c r="E47" s="43"/>
      <c r="F47" s="41"/>
      <c r="I47" s="15"/>
      <c r="J47" s="15"/>
      <c r="K47" s="1"/>
      <c r="L47" s="15"/>
      <c r="M47" s="1"/>
      <c r="N47" s="1"/>
      <c r="O47" s="15"/>
      <c r="P47" s="1"/>
      <c r="Q47" s="1"/>
      <c r="R47" s="15"/>
      <c r="S47" s="1"/>
      <c r="T47" s="1"/>
      <c r="U47" s="15"/>
    </row>
    <row r="48" spans="1:36" x14ac:dyDescent="0.45">
      <c r="A48" s="1"/>
      <c r="E48" s="41"/>
      <c r="F48" s="41"/>
      <c r="I48" s="15"/>
      <c r="J48" s="15"/>
      <c r="K48" s="1"/>
      <c r="L48" s="15"/>
      <c r="M48" s="1"/>
      <c r="N48" s="1"/>
      <c r="O48" s="15"/>
      <c r="P48" s="1"/>
      <c r="Q48" s="1"/>
      <c r="R48" s="15"/>
      <c r="S48" s="1"/>
      <c r="T48" s="1"/>
      <c r="U48" s="15"/>
    </row>
    <row r="49" spans="1:21" x14ac:dyDescent="0.45">
      <c r="A49" s="1"/>
      <c r="E49" s="41"/>
      <c r="F49" s="41"/>
      <c r="I49" s="15"/>
      <c r="J49" s="15"/>
      <c r="K49" s="1"/>
      <c r="L49" s="15"/>
      <c r="M49" s="1"/>
      <c r="N49" s="1"/>
      <c r="O49" s="15"/>
      <c r="P49" s="1"/>
      <c r="Q49" s="1"/>
      <c r="R49" s="15"/>
      <c r="S49" s="1"/>
      <c r="T49" s="1"/>
      <c r="U49" s="15"/>
    </row>
    <row r="50" spans="1:21" x14ac:dyDescent="0.45">
      <c r="A50" s="1"/>
      <c r="E50" s="41"/>
      <c r="F50" s="41"/>
      <c r="I50" s="15"/>
      <c r="J50" s="15"/>
      <c r="K50" s="1"/>
      <c r="L50" s="15"/>
      <c r="M50" s="1"/>
      <c r="N50" s="1"/>
      <c r="O50" s="15"/>
      <c r="P50" s="1"/>
      <c r="Q50" s="1"/>
      <c r="R50" s="15"/>
      <c r="S50" s="1"/>
      <c r="T50" s="1"/>
      <c r="U50" s="15"/>
    </row>
    <row r="51" spans="1:21" x14ac:dyDescent="0.45">
      <c r="A51" s="1"/>
      <c r="E51" s="41"/>
      <c r="F51" s="41"/>
      <c r="I51" s="15"/>
      <c r="J51" s="15"/>
      <c r="K51" s="1"/>
      <c r="L51" s="15"/>
      <c r="M51" s="1"/>
      <c r="N51" s="1"/>
      <c r="O51" s="15"/>
      <c r="P51" s="1"/>
      <c r="Q51" s="1"/>
      <c r="R51" s="15"/>
      <c r="S51" s="1"/>
      <c r="T51" s="1"/>
      <c r="U51" s="15"/>
    </row>
    <row r="52" spans="1:21" x14ac:dyDescent="0.45">
      <c r="A52" s="1"/>
      <c r="E52" s="41"/>
      <c r="F52" s="41"/>
      <c r="I52" s="15"/>
      <c r="J52" s="15"/>
      <c r="K52" s="1"/>
      <c r="L52" s="15"/>
      <c r="M52" s="1"/>
      <c r="N52" s="1"/>
      <c r="O52" s="15"/>
      <c r="P52" s="1"/>
      <c r="Q52" s="1"/>
      <c r="R52" s="15"/>
      <c r="S52" s="1"/>
      <c r="T52" s="1"/>
      <c r="U52" s="15"/>
    </row>
    <row r="53" spans="1:21" x14ac:dyDescent="0.45">
      <c r="A53" s="1"/>
      <c r="E53" s="41"/>
      <c r="F53" s="41"/>
      <c r="I53" s="15"/>
      <c r="J53" s="15"/>
      <c r="K53" s="1"/>
      <c r="L53" s="15"/>
      <c r="M53" s="1"/>
      <c r="N53" s="1"/>
      <c r="O53" s="15"/>
      <c r="P53" s="1"/>
      <c r="Q53" s="1"/>
      <c r="R53" s="15"/>
      <c r="S53" s="1"/>
      <c r="T53" s="1"/>
      <c r="U53" s="15"/>
    </row>
    <row r="54" spans="1:21" x14ac:dyDescent="0.45">
      <c r="A54" s="1"/>
      <c r="E54" s="41"/>
      <c r="F54" s="41"/>
      <c r="I54" s="15"/>
      <c r="J54" s="15"/>
      <c r="K54" s="1"/>
      <c r="L54" s="15"/>
      <c r="M54" s="1"/>
      <c r="N54" s="1"/>
      <c r="O54" s="15"/>
      <c r="P54" s="1"/>
      <c r="Q54" s="1"/>
      <c r="R54" s="15"/>
      <c r="S54" s="1"/>
      <c r="T54" s="1"/>
      <c r="U54" s="15"/>
    </row>
    <row r="55" spans="1:21" x14ac:dyDescent="0.45">
      <c r="A55" s="1"/>
      <c r="E55" s="41"/>
      <c r="F55" s="41"/>
      <c r="I55" s="15"/>
      <c r="J55" s="15"/>
      <c r="K55" s="1"/>
      <c r="L55" s="15"/>
      <c r="M55" s="1"/>
      <c r="N55" s="1"/>
      <c r="O55" s="15"/>
      <c r="P55" s="1"/>
      <c r="Q55" s="1"/>
      <c r="R55" s="15"/>
      <c r="S55" s="1"/>
      <c r="T55" s="1"/>
      <c r="U55" s="15"/>
    </row>
    <row r="56" spans="1:21" x14ac:dyDescent="0.45">
      <c r="A56" s="1"/>
      <c r="E56" s="41"/>
      <c r="F56" s="41"/>
      <c r="I56" s="15"/>
      <c r="J56" s="15"/>
      <c r="K56" s="1"/>
      <c r="L56" s="15"/>
      <c r="M56" s="1"/>
      <c r="N56" s="1"/>
      <c r="O56" s="15"/>
      <c r="P56" s="1"/>
      <c r="Q56" s="1"/>
      <c r="R56" s="15"/>
      <c r="S56" s="1"/>
      <c r="T56" s="1"/>
      <c r="U56" s="15"/>
    </row>
    <row r="57" spans="1:21" x14ac:dyDescent="0.45">
      <c r="A57" s="1"/>
      <c r="E57" s="41"/>
      <c r="F57" s="41"/>
      <c r="I57" s="15"/>
      <c r="J57" s="15"/>
      <c r="K57" s="1"/>
      <c r="L57" s="15"/>
      <c r="M57" s="1"/>
      <c r="N57" s="1"/>
      <c r="O57" s="15"/>
      <c r="P57" s="1"/>
      <c r="Q57" s="1"/>
      <c r="R57" s="15"/>
      <c r="S57" s="1"/>
      <c r="T57" s="1"/>
      <c r="U57" s="15"/>
    </row>
    <row r="58" spans="1:21" x14ac:dyDescent="0.45">
      <c r="A58" s="1"/>
      <c r="E58" s="41"/>
      <c r="F58" s="41"/>
      <c r="I58" s="15"/>
      <c r="J58" s="15"/>
      <c r="K58" s="1"/>
      <c r="L58" s="15"/>
      <c r="M58" s="1"/>
      <c r="N58" s="1"/>
      <c r="O58" s="15"/>
      <c r="P58" s="1"/>
      <c r="Q58" s="1"/>
      <c r="R58" s="15"/>
      <c r="S58" s="1"/>
      <c r="T58" s="1"/>
      <c r="U58" s="15"/>
    </row>
    <row r="59" spans="1:21" x14ac:dyDescent="0.45">
      <c r="A59" s="1"/>
      <c r="E59" s="41"/>
      <c r="F59" s="41"/>
      <c r="I59" s="15"/>
      <c r="J59" s="15"/>
      <c r="K59" s="1"/>
      <c r="L59" s="15"/>
      <c r="M59" s="1"/>
      <c r="N59" s="1"/>
      <c r="O59" s="15"/>
      <c r="P59" s="1"/>
      <c r="Q59" s="1"/>
      <c r="R59" s="15"/>
      <c r="S59" s="1"/>
      <c r="T59" s="1"/>
      <c r="U59" s="15"/>
    </row>
    <row r="60" spans="1:21" x14ac:dyDescent="0.45">
      <c r="A60" s="1"/>
      <c r="E60" s="41"/>
      <c r="F60" s="41"/>
      <c r="I60" s="15"/>
      <c r="J60" s="15"/>
      <c r="K60" s="1"/>
      <c r="L60" s="15"/>
      <c r="M60" s="1"/>
      <c r="N60" s="1"/>
      <c r="O60" s="15"/>
      <c r="P60" s="1"/>
      <c r="Q60" s="1"/>
      <c r="R60" s="15"/>
      <c r="S60" s="1"/>
      <c r="T60" s="1"/>
      <c r="U60" s="15"/>
    </row>
    <row r="61" spans="1:21" x14ac:dyDescent="0.45">
      <c r="A61" s="1"/>
      <c r="E61" s="41"/>
      <c r="F61" s="41"/>
      <c r="I61" s="15"/>
      <c r="J61" s="15"/>
      <c r="K61" s="1"/>
      <c r="L61" s="15"/>
      <c r="M61" s="1"/>
      <c r="N61" s="1"/>
      <c r="O61" s="15"/>
      <c r="P61" s="1"/>
      <c r="Q61" s="1"/>
      <c r="R61" s="15"/>
      <c r="S61" s="1"/>
      <c r="T61" s="1"/>
      <c r="U61" s="15"/>
    </row>
    <row r="62" spans="1:21" x14ac:dyDescent="0.45">
      <c r="A62" s="1"/>
      <c r="E62" s="41"/>
      <c r="F62" s="41"/>
      <c r="I62" s="15"/>
      <c r="J62" s="15"/>
      <c r="K62" s="1"/>
      <c r="L62" s="15"/>
      <c r="M62" s="1"/>
      <c r="N62" s="1"/>
      <c r="O62" s="15"/>
      <c r="P62" s="1"/>
      <c r="Q62" s="1"/>
      <c r="R62" s="15"/>
      <c r="S62" s="1"/>
      <c r="T62" s="1"/>
      <c r="U62" s="15"/>
    </row>
    <row r="63" spans="1:21" x14ac:dyDescent="0.45">
      <c r="A63" s="1"/>
      <c r="E63" s="41"/>
      <c r="F63" s="41"/>
      <c r="I63" s="15"/>
      <c r="J63" s="15"/>
      <c r="K63" s="1"/>
      <c r="L63" s="15"/>
      <c r="M63" s="1"/>
      <c r="N63" s="1"/>
      <c r="O63" s="15"/>
      <c r="P63" s="1"/>
      <c r="Q63" s="1"/>
      <c r="R63" s="15"/>
      <c r="S63" s="1"/>
      <c r="T63" s="1"/>
      <c r="U63" s="15"/>
    </row>
    <row r="64" spans="1:21" x14ac:dyDescent="0.45">
      <c r="A64" s="1"/>
      <c r="E64" s="41"/>
      <c r="F64" s="41"/>
      <c r="I64" s="15"/>
      <c r="J64" s="15"/>
      <c r="K64" s="1"/>
      <c r="L64" s="15"/>
      <c r="M64" s="1"/>
      <c r="N64" s="1"/>
      <c r="O64" s="15"/>
      <c r="P64" s="1"/>
      <c r="Q64" s="1"/>
      <c r="R64" s="15"/>
      <c r="S64" s="1"/>
      <c r="T64" s="1"/>
      <c r="U64" s="15"/>
    </row>
    <row r="65" spans="1:21" x14ac:dyDescent="0.45">
      <c r="A65" s="1"/>
      <c r="E65" s="41"/>
      <c r="F65" s="41"/>
      <c r="I65" s="15"/>
      <c r="J65" s="15"/>
      <c r="K65" s="1"/>
      <c r="L65" s="15"/>
      <c r="M65" s="1"/>
      <c r="N65" s="1"/>
      <c r="O65" s="15"/>
      <c r="P65" s="1"/>
      <c r="Q65" s="1"/>
      <c r="R65" s="15"/>
      <c r="S65" s="1"/>
      <c r="T65" s="1"/>
      <c r="U65" s="15"/>
    </row>
    <row r="66" spans="1:21" x14ac:dyDescent="0.45">
      <c r="A66" s="1"/>
      <c r="E66" s="41"/>
      <c r="F66" s="41"/>
      <c r="I66" s="15"/>
      <c r="J66" s="15"/>
      <c r="K66" s="1"/>
      <c r="L66" s="15"/>
      <c r="M66" s="1"/>
      <c r="N66" s="1"/>
      <c r="O66" s="15"/>
      <c r="P66" s="1"/>
      <c r="Q66" s="1"/>
      <c r="R66" s="15"/>
      <c r="S66" s="1"/>
      <c r="T66" s="1"/>
      <c r="U66" s="15"/>
    </row>
    <row r="67" spans="1:21" x14ac:dyDescent="0.45">
      <c r="A67" s="1"/>
      <c r="E67" s="41"/>
      <c r="F67" s="41"/>
      <c r="I67" s="15"/>
      <c r="J67" s="15"/>
      <c r="K67" s="1"/>
      <c r="L67" s="15"/>
      <c r="M67" s="1"/>
      <c r="N67" s="1"/>
      <c r="O67" s="15"/>
      <c r="P67" s="1"/>
      <c r="Q67" s="1"/>
      <c r="R67" s="15"/>
      <c r="S67" s="1"/>
      <c r="T67" s="1"/>
      <c r="U67" s="15"/>
    </row>
    <row r="68" spans="1:21" x14ac:dyDescent="0.45">
      <c r="A68" s="1"/>
      <c r="E68" s="41"/>
      <c r="F68" s="41"/>
      <c r="I68" s="15"/>
      <c r="J68" s="15"/>
      <c r="K68" s="1"/>
      <c r="L68" s="15"/>
      <c r="M68" s="1"/>
      <c r="N68" s="1"/>
      <c r="O68" s="15"/>
      <c r="P68" s="1"/>
      <c r="Q68" s="1"/>
      <c r="R68" s="15"/>
      <c r="S68" s="1"/>
      <c r="T68" s="1"/>
      <c r="U68" s="15"/>
    </row>
    <row r="69" spans="1:21" x14ac:dyDescent="0.45">
      <c r="A69" s="1"/>
      <c r="E69" s="41"/>
      <c r="F69" s="41"/>
      <c r="I69" s="15"/>
      <c r="J69" s="15"/>
      <c r="K69" s="1"/>
      <c r="L69" s="15"/>
      <c r="M69" s="1"/>
      <c r="N69" s="1"/>
      <c r="O69" s="15"/>
      <c r="P69" s="1"/>
      <c r="Q69" s="1"/>
      <c r="R69" s="15"/>
      <c r="S69" s="1"/>
      <c r="T69" s="1"/>
      <c r="U69" s="15"/>
    </row>
    <row r="70" spans="1:21" x14ac:dyDescent="0.45">
      <c r="A70" s="1"/>
      <c r="E70" s="41"/>
      <c r="F70" s="41"/>
      <c r="I70" s="15"/>
      <c r="J70" s="15"/>
      <c r="K70" s="1"/>
      <c r="L70" s="15"/>
      <c r="M70" s="1"/>
      <c r="N70" s="1"/>
      <c r="O70" s="15"/>
      <c r="P70" s="1"/>
      <c r="Q70" s="1"/>
      <c r="R70" s="15"/>
      <c r="S70" s="1"/>
      <c r="T70" s="1"/>
      <c r="U70" s="15"/>
    </row>
    <row r="71" spans="1:21" x14ac:dyDescent="0.45">
      <c r="A71" s="1"/>
      <c r="E71" s="41"/>
      <c r="F71" s="41"/>
      <c r="I71" s="15"/>
      <c r="J71" s="15"/>
      <c r="K71" s="1"/>
      <c r="L71" s="15"/>
      <c r="M71" s="1"/>
      <c r="N71" s="1"/>
      <c r="O71" s="15"/>
      <c r="P71" s="1"/>
      <c r="Q71" s="1"/>
      <c r="R71" s="15"/>
      <c r="S71" s="1"/>
      <c r="T71" s="1"/>
      <c r="U71" s="15"/>
    </row>
    <row r="72" spans="1:21" x14ac:dyDescent="0.45">
      <c r="A72" s="1"/>
      <c r="E72" s="41"/>
      <c r="F72" s="41"/>
      <c r="I72" s="15"/>
      <c r="J72" s="15"/>
      <c r="K72" s="1"/>
      <c r="L72" s="15"/>
      <c r="M72" s="1"/>
      <c r="N72" s="1"/>
      <c r="O72" s="15"/>
      <c r="P72" s="1"/>
      <c r="Q72" s="1"/>
      <c r="R72" s="15"/>
      <c r="S72" s="1"/>
      <c r="T72" s="1"/>
      <c r="U72" s="15"/>
    </row>
    <row r="73" spans="1:21" x14ac:dyDescent="0.45">
      <c r="A73" s="1"/>
      <c r="E73" s="41"/>
      <c r="F73" s="41"/>
      <c r="I73" s="15"/>
      <c r="J73" s="15"/>
      <c r="K73" s="1"/>
      <c r="L73" s="15"/>
      <c r="M73" s="1"/>
      <c r="N73" s="1"/>
      <c r="O73" s="15"/>
      <c r="P73" s="1"/>
      <c r="Q73" s="1"/>
      <c r="R73" s="15"/>
      <c r="S73" s="1"/>
      <c r="T73" s="1"/>
      <c r="U73" s="15"/>
    </row>
    <row r="74" spans="1:21" x14ac:dyDescent="0.45">
      <c r="A74" s="1"/>
      <c r="E74" s="41"/>
      <c r="F74" s="41"/>
      <c r="I74" s="15"/>
      <c r="J74" s="15"/>
      <c r="K74" s="1"/>
      <c r="L74" s="15"/>
      <c r="M74" s="1"/>
      <c r="N74" s="1"/>
      <c r="O74" s="15"/>
      <c r="P74" s="1"/>
      <c r="Q74" s="1"/>
      <c r="R74" s="15"/>
      <c r="S74" s="1"/>
      <c r="T74" s="1"/>
      <c r="U74" s="15"/>
    </row>
    <row r="75" spans="1:21" x14ac:dyDescent="0.45">
      <c r="A75" s="1"/>
      <c r="E75" s="41"/>
      <c r="F75" s="41"/>
      <c r="I75" s="15"/>
      <c r="J75" s="15"/>
      <c r="K75" s="1"/>
      <c r="L75" s="15"/>
      <c r="M75" s="1"/>
      <c r="N75" s="1"/>
      <c r="O75" s="15"/>
      <c r="P75" s="1"/>
      <c r="Q75" s="1"/>
      <c r="R75" s="15"/>
      <c r="S75" s="1"/>
      <c r="T75" s="1"/>
      <c r="U75" s="15"/>
    </row>
    <row r="76" spans="1:21" x14ac:dyDescent="0.45">
      <c r="A76" s="1"/>
      <c r="E76" s="41"/>
      <c r="F76" s="41"/>
      <c r="I76" s="15"/>
      <c r="J76" s="15"/>
      <c r="K76" s="1"/>
      <c r="L76" s="15"/>
      <c r="M76" s="1"/>
      <c r="N76" s="1"/>
      <c r="O76" s="15"/>
      <c r="P76" s="1"/>
      <c r="Q76" s="1"/>
      <c r="R76" s="15"/>
      <c r="S76" s="1"/>
      <c r="T76" s="1"/>
      <c r="U76" s="15"/>
    </row>
    <row r="77" spans="1:21" x14ac:dyDescent="0.45">
      <c r="A77" s="1"/>
      <c r="E77" s="41"/>
      <c r="F77" s="41"/>
      <c r="I77" s="15"/>
      <c r="J77" s="15"/>
      <c r="K77" s="1"/>
      <c r="L77" s="15"/>
      <c r="M77" s="1"/>
      <c r="N77" s="1"/>
      <c r="O77" s="15"/>
      <c r="P77" s="1"/>
      <c r="Q77" s="1"/>
      <c r="R77" s="15"/>
      <c r="S77" s="1"/>
      <c r="T77" s="1"/>
      <c r="U77" s="15"/>
    </row>
    <row r="78" spans="1:21" x14ac:dyDescent="0.45">
      <c r="A78" s="1"/>
      <c r="E78" s="41"/>
      <c r="F78" s="41"/>
      <c r="I78" s="15"/>
      <c r="J78" s="15"/>
      <c r="K78" s="1"/>
      <c r="L78" s="15"/>
      <c r="M78" s="1"/>
      <c r="N78" s="1"/>
      <c r="O78" s="15"/>
      <c r="P78" s="1"/>
      <c r="Q78" s="1"/>
      <c r="R78" s="15"/>
      <c r="S78" s="1"/>
      <c r="T78" s="1"/>
      <c r="U78" s="15"/>
    </row>
    <row r="79" spans="1:21" x14ac:dyDescent="0.45">
      <c r="A79" s="1"/>
      <c r="E79" s="41"/>
      <c r="F79" s="41"/>
      <c r="I79" s="15"/>
      <c r="J79" s="15"/>
      <c r="K79" s="1"/>
      <c r="L79" s="15"/>
      <c r="M79" s="1"/>
      <c r="N79" s="1"/>
      <c r="O79" s="15"/>
      <c r="P79" s="1"/>
      <c r="Q79" s="1"/>
      <c r="R79" s="15"/>
      <c r="S79" s="1"/>
      <c r="T79" s="1"/>
      <c r="U79" s="15"/>
    </row>
    <row r="80" spans="1:21" x14ac:dyDescent="0.45">
      <c r="A80" s="1"/>
      <c r="E80" s="41"/>
      <c r="F80" s="41"/>
      <c r="I80" s="15"/>
      <c r="J80" s="15"/>
      <c r="K80" s="1"/>
      <c r="L80" s="15"/>
      <c r="M80" s="1"/>
      <c r="N80" s="1"/>
      <c r="O80" s="15"/>
      <c r="P80" s="1"/>
      <c r="Q80" s="1"/>
      <c r="R80" s="15"/>
      <c r="S80" s="1"/>
      <c r="T80" s="1"/>
      <c r="U80" s="15"/>
    </row>
    <row r="81" spans="1:21" x14ac:dyDescent="0.45">
      <c r="A81" s="1"/>
      <c r="E81" s="41"/>
      <c r="F81" s="41"/>
      <c r="I81" s="15"/>
      <c r="J81" s="15"/>
      <c r="K81" s="1"/>
      <c r="L81" s="15"/>
      <c r="M81" s="1"/>
      <c r="N81" s="1"/>
      <c r="O81" s="15"/>
      <c r="P81" s="1"/>
      <c r="Q81" s="1"/>
      <c r="R81" s="15"/>
      <c r="S81" s="1"/>
      <c r="T81" s="1"/>
      <c r="U81" s="15"/>
    </row>
    <row r="82" spans="1:21" x14ac:dyDescent="0.45">
      <c r="A82" s="1"/>
    </row>
    <row r="83" spans="1:21" x14ac:dyDescent="0.45">
      <c r="A83" s="1"/>
    </row>
    <row r="84" spans="1:21" x14ac:dyDescent="0.45">
      <c r="A84" s="1"/>
    </row>
    <row r="85" spans="1:21" x14ac:dyDescent="0.45">
      <c r="A85" s="1"/>
    </row>
    <row r="86" spans="1:21" x14ac:dyDescent="0.45">
      <c r="A86" s="1"/>
    </row>
    <row r="87" spans="1:21" x14ac:dyDescent="0.45">
      <c r="A87" s="1"/>
    </row>
    <row r="88" spans="1:21" x14ac:dyDescent="0.45">
      <c r="A88" s="1"/>
    </row>
    <row r="89" spans="1:21" x14ac:dyDescent="0.45">
      <c r="A89" s="1"/>
    </row>
    <row r="90" spans="1:21" x14ac:dyDescent="0.45">
      <c r="A90" s="1"/>
    </row>
    <row r="91" spans="1:21" x14ac:dyDescent="0.45">
      <c r="A91" s="1"/>
    </row>
    <row r="92" spans="1:21" x14ac:dyDescent="0.45">
      <c r="A92" s="1"/>
    </row>
    <row r="93" spans="1:21" x14ac:dyDescent="0.45">
      <c r="A93" s="1"/>
    </row>
    <row r="94" spans="1:21" x14ac:dyDescent="0.45">
      <c r="A94" s="1"/>
    </row>
    <row r="95" spans="1:21" x14ac:dyDescent="0.45">
      <c r="A95" s="1"/>
    </row>
    <row r="96" spans="1:21" x14ac:dyDescent="0.45">
      <c r="A96" s="1"/>
    </row>
    <row r="97" spans="1:1" x14ac:dyDescent="0.45">
      <c r="A97" s="1"/>
    </row>
    <row r="98" spans="1:1" x14ac:dyDescent="0.45">
      <c r="A98" s="1"/>
    </row>
    <row r="99" spans="1:1" x14ac:dyDescent="0.45">
      <c r="A99" s="1"/>
    </row>
    <row r="100" spans="1:1" x14ac:dyDescent="0.45">
      <c r="A100" s="1"/>
    </row>
    <row r="101" spans="1:1" x14ac:dyDescent="0.45">
      <c r="A101" s="1"/>
    </row>
    <row r="102" spans="1:1" x14ac:dyDescent="0.45">
      <c r="A102" s="1"/>
    </row>
    <row r="103" spans="1:1" x14ac:dyDescent="0.45">
      <c r="A103" s="1"/>
    </row>
    <row r="104" spans="1:1" x14ac:dyDescent="0.45">
      <c r="A104" s="1"/>
    </row>
    <row r="105" spans="1:1" x14ac:dyDescent="0.45">
      <c r="A105" s="1"/>
    </row>
    <row r="106" spans="1:1" x14ac:dyDescent="0.45">
      <c r="A106" s="1"/>
    </row>
    <row r="107" spans="1:1" x14ac:dyDescent="0.45">
      <c r="A107" s="1"/>
    </row>
    <row r="108" spans="1:1" x14ac:dyDescent="0.45">
      <c r="A108" s="1"/>
    </row>
    <row r="109" spans="1:1" x14ac:dyDescent="0.45">
      <c r="A109" s="1"/>
    </row>
    <row r="110" spans="1:1" x14ac:dyDescent="0.45">
      <c r="A110" s="1"/>
    </row>
    <row r="111" spans="1:1" x14ac:dyDescent="0.45">
      <c r="A111" s="1"/>
    </row>
    <row r="112" spans="1:1" x14ac:dyDescent="0.45">
      <c r="A112" s="1"/>
    </row>
    <row r="113" spans="1:1" x14ac:dyDescent="0.45">
      <c r="A113" s="1"/>
    </row>
    <row r="114" spans="1:1" x14ac:dyDescent="0.45">
      <c r="A114" s="1"/>
    </row>
    <row r="115" spans="1:1" x14ac:dyDescent="0.45">
      <c r="A115" s="1"/>
    </row>
    <row r="116" spans="1:1" x14ac:dyDescent="0.45">
      <c r="A116" s="1"/>
    </row>
    <row r="117" spans="1:1" x14ac:dyDescent="0.45">
      <c r="A117" s="1"/>
    </row>
    <row r="118" spans="1:1" x14ac:dyDescent="0.45">
      <c r="A118" s="1"/>
    </row>
    <row r="119" spans="1:1" x14ac:dyDescent="0.45">
      <c r="A119" s="1"/>
    </row>
    <row r="120" spans="1:1" x14ac:dyDescent="0.45">
      <c r="A120" s="1"/>
    </row>
    <row r="121" spans="1:1" x14ac:dyDescent="0.45">
      <c r="A121" s="1"/>
    </row>
    <row r="122" spans="1:1" x14ac:dyDescent="0.45">
      <c r="A122" s="1"/>
    </row>
    <row r="123" spans="1:1" x14ac:dyDescent="0.45">
      <c r="A123" s="1"/>
    </row>
    <row r="124" spans="1:1" x14ac:dyDescent="0.45">
      <c r="A124" s="1"/>
    </row>
    <row r="125" spans="1:1" x14ac:dyDescent="0.45">
      <c r="A125" s="1"/>
    </row>
    <row r="126" spans="1:1" x14ac:dyDescent="0.45">
      <c r="A126" s="1"/>
    </row>
    <row r="127" spans="1:1" x14ac:dyDescent="0.45">
      <c r="A127" s="1"/>
    </row>
    <row r="128" spans="1:1" x14ac:dyDescent="0.45">
      <c r="A128" s="1"/>
    </row>
    <row r="129" spans="1:1" x14ac:dyDescent="0.45">
      <c r="A129" s="1"/>
    </row>
    <row r="130" spans="1:1" x14ac:dyDescent="0.45">
      <c r="A130" s="1"/>
    </row>
    <row r="131" spans="1:1" x14ac:dyDescent="0.45">
      <c r="A131" s="1"/>
    </row>
    <row r="132" spans="1:1" x14ac:dyDescent="0.45">
      <c r="A132" s="1"/>
    </row>
    <row r="133" spans="1:1" x14ac:dyDescent="0.45">
      <c r="A133" s="1"/>
    </row>
    <row r="134" spans="1:1" x14ac:dyDescent="0.45">
      <c r="A134" s="1"/>
    </row>
    <row r="135" spans="1:1" x14ac:dyDescent="0.45">
      <c r="A135" s="1"/>
    </row>
    <row r="136" spans="1:1" x14ac:dyDescent="0.45">
      <c r="A136" s="1"/>
    </row>
    <row r="137" spans="1:1" x14ac:dyDescent="0.45">
      <c r="A137" s="1"/>
    </row>
    <row r="138" spans="1:1" x14ac:dyDescent="0.45">
      <c r="A138" s="1"/>
    </row>
    <row r="139" spans="1:1" x14ac:dyDescent="0.45">
      <c r="A139" s="1"/>
    </row>
    <row r="140" spans="1:1" x14ac:dyDescent="0.45">
      <c r="A140" s="1"/>
    </row>
    <row r="141" spans="1:1" x14ac:dyDescent="0.45">
      <c r="A141" s="1"/>
    </row>
    <row r="142" spans="1:1" x14ac:dyDescent="0.45">
      <c r="A142" s="1"/>
    </row>
    <row r="143" spans="1:1" x14ac:dyDescent="0.45">
      <c r="A143" s="1"/>
    </row>
    <row r="144" spans="1:1" x14ac:dyDescent="0.45">
      <c r="A144" s="1"/>
    </row>
    <row r="145" spans="1:1" x14ac:dyDescent="0.45">
      <c r="A145" s="1"/>
    </row>
    <row r="146" spans="1:1" x14ac:dyDescent="0.45">
      <c r="A146" s="1"/>
    </row>
    <row r="147" spans="1:1" x14ac:dyDescent="0.45">
      <c r="A147" s="1"/>
    </row>
    <row r="148" spans="1:1" x14ac:dyDescent="0.45">
      <c r="A148" s="1"/>
    </row>
    <row r="149" spans="1:1" x14ac:dyDescent="0.45">
      <c r="A149" s="1"/>
    </row>
    <row r="150" spans="1:1" x14ac:dyDescent="0.45">
      <c r="A150" s="1"/>
    </row>
    <row r="151" spans="1:1" x14ac:dyDescent="0.45">
      <c r="A151" s="1"/>
    </row>
    <row r="152" spans="1:1" x14ac:dyDescent="0.45">
      <c r="A152" s="1"/>
    </row>
    <row r="153" spans="1:1" x14ac:dyDescent="0.45">
      <c r="A153" s="1"/>
    </row>
    <row r="154" spans="1:1" x14ac:dyDescent="0.45">
      <c r="A154" s="1"/>
    </row>
    <row r="155" spans="1:1" x14ac:dyDescent="0.45">
      <c r="A155" s="1"/>
    </row>
    <row r="156" spans="1:1" x14ac:dyDescent="0.45">
      <c r="A156" s="1"/>
    </row>
    <row r="157" spans="1:1" x14ac:dyDescent="0.45">
      <c r="A157" s="1"/>
    </row>
    <row r="158" spans="1:1" x14ac:dyDescent="0.45">
      <c r="A158" s="1"/>
    </row>
    <row r="159" spans="1:1" x14ac:dyDescent="0.45">
      <c r="A159" s="1"/>
    </row>
    <row r="160" spans="1:1" x14ac:dyDescent="0.45">
      <c r="A160" s="1"/>
    </row>
    <row r="161" spans="1:1" x14ac:dyDescent="0.45">
      <c r="A161" s="1"/>
    </row>
    <row r="162" spans="1:1" x14ac:dyDescent="0.45">
      <c r="A162" s="1"/>
    </row>
    <row r="163" spans="1:1" x14ac:dyDescent="0.45">
      <c r="A163" s="1"/>
    </row>
    <row r="164" spans="1:1" x14ac:dyDescent="0.45">
      <c r="A164" s="1"/>
    </row>
    <row r="165" spans="1:1" x14ac:dyDescent="0.45">
      <c r="A165" s="1"/>
    </row>
    <row r="166" spans="1:1" x14ac:dyDescent="0.45">
      <c r="A166" s="1"/>
    </row>
    <row r="167" spans="1:1" x14ac:dyDescent="0.45">
      <c r="A167" s="1"/>
    </row>
    <row r="168" spans="1:1" x14ac:dyDescent="0.45">
      <c r="A168" s="1"/>
    </row>
    <row r="169" spans="1:1" x14ac:dyDescent="0.45">
      <c r="A169" s="1"/>
    </row>
    <row r="170" spans="1:1" x14ac:dyDescent="0.45">
      <c r="A170" s="1"/>
    </row>
    <row r="171" spans="1:1" x14ac:dyDescent="0.45">
      <c r="A171" s="1"/>
    </row>
    <row r="172" spans="1:1" x14ac:dyDescent="0.45">
      <c r="A172" s="1"/>
    </row>
    <row r="173" spans="1:1" x14ac:dyDescent="0.45">
      <c r="A173" s="1"/>
    </row>
    <row r="174" spans="1:1" x14ac:dyDescent="0.45">
      <c r="A174" s="1"/>
    </row>
    <row r="175" spans="1:1" x14ac:dyDescent="0.45">
      <c r="A175" s="1"/>
    </row>
    <row r="176" spans="1:1" x14ac:dyDescent="0.45">
      <c r="A176" s="1"/>
    </row>
    <row r="177" spans="1:1" x14ac:dyDescent="0.45">
      <c r="A177" s="1"/>
    </row>
    <row r="178" spans="1:1" x14ac:dyDescent="0.45">
      <c r="A178" s="1"/>
    </row>
    <row r="179" spans="1:1" x14ac:dyDescent="0.45">
      <c r="A179" s="1"/>
    </row>
    <row r="180" spans="1:1" x14ac:dyDescent="0.45">
      <c r="A180" s="1"/>
    </row>
    <row r="181" spans="1:1" x14ac:dyDescent="0.45">
      <c r="A181" s="1"/>
    </row>
    <row r="182" spans="1:1" x14ac:dyDescent="0.45">
      <c r="A182" s="1"/>
    </row>
    <row r="183" spans="1:1" x14ac:dyDescent="0.45">
      <c r="A183" s="1"/>
    </row>
    <row r="184" spans="1:1" x14ac:dyDescent="0.45">
      <c r="A184" s="1"/>
    </row>
    <row r="185" spans="1:1" x14ac:dyDescent="0.45">
      <c r="A185" s="1"/>
    </row>
    <row r="186" spans="1:1" x14ac:dyDescent="0.45">
      <c r="A186" s="1"/>
    </row>
    <row r="187" spans="1:1" x14ac:dyDescent="0.45">
      <c r="A187" s="1"/>
    </row>
    <row r="188" spans="1:1" x14ac:dyDescent="0.45">
      <c r="A188" s="1"/>
    </row>
    <row r="189" spans="1:1" x14ac:dyDescent="0.45">
      <c r="A189" s="1"/>
    </row>
    <row r="190" spans="1:1" x14ac:dyDescent="0.45">
      <c r="A190" s="1"/>
    </row>
    <row r="191" spans="1:1" x14ac:dyDescent="0.45">
      <c r="A191" s="1"/>
    </row>
    <row r="192" spans="1:1" x14ac:dyDescent="0.45">
      <c r="A192" s="1"/>
    </row>
    <row r="193" spans="1:1" x14ac:dyDescent="0.45">
      <c r="A193" s="1"/>
    </row>
    <row r="194" spans="1:1" x14ac:dyDescent="0.45">
      <c r="A194" s="1"/>
    </row>
    <row r="195" spans="1:1" x14ac:dyDescent="0.45">
      <c r="A195" s="1"/>
    </row>
    <row r="196" spans="1:1" x14ac:dyDescent="0.45">
      <c r="A196" s="1"/>
    </row>
    <row r="197" spans="1:1" x14ac:dyDescent="0.45">
      <c r="A197" s="1"/>
    </row>
    <row r="198" spans="1:1" x14ac:dyDescent="0.45">
      <c r="A198" s="1"/>
    </row>
    <row r="199" spans="1:1" x14ac:dyDescent="0.45">
      <c r="A199" s="1"/>
    </row>
    <row r="200" spans="1:1" x14ac:dyDescent="0.45">
      <c r="A200" s="1"/>
    </row>
    <row r="201" spans="1:1" x14ac:dyDescent="0.45">
      <c r="A201" s="1"/>
    </row>
    <row r="202" spans="1:1" x14ac:dyDescent="0.45">
      <c r="A202" s="1"/>
    </row>
    <row r="203" spans="1:1" x14ac:dyDescent="0.45">
      <c r="A203" s="1"/>
    </row>
    <row r="204" spans="1:1" x14ac:dyDescent="0.45">
      <c r="A204" s="1"/>
    </row>
    <row r="205" spans="1:1" x14ac:dyDescent="0.45">
      <c r="A205" s="1"/>
    </row>
    <row r="206" spans="1:1" x14ac:dyDescent="0.45">
      <c r="A206" s="1"/>
    </row>
    <row r="207" spans="1:1" x14ac:dyDescent="0.45">
      <c r="A207" s="1"/>
    </row>
    <row r="208" spans="1:1" x14ac:dyDescent="0.45">
      <c r="A208" s="1"/>
    </row>
    <row r="209" spans="1:1" x14ac:dyDescent="0.45">
      <c r="A209" s="1"/>
    </row>
    <row r="210" spans="1:1" x14ac:dyDescent="0.45">
      <c r="A210" s="1"/>
    </row>
    <row r="211" spans="1:1" x14ac:dyDescent="0.45">
      <c r="A211" s="1"/>
    </row>
    <row r="212" spans="1:1" x14ac:dyDescent="0.45">
      <c r="A212" s="1"/>
    </row>
    <row r="213" spans="1:1" x14ac:dyDescent="0.45">
      <c r="A213" s="1"/>
    </row>
    <row r="214" spans="1:1" x14ac:dyDescent="0.45">
      <c r="A214" s="1"/>
    </row>
    <row r="215" spans="1:1" x14ac:dyDescent="0.45">
      <c r="A215" s="1"/>
    </row>
    <row r="216" spans="1:1" x14ac:dyDescent="0.45">
      <c r="A216" s="1"/>
    </row>
    <row r="217" spans="1:1" x14ac:dyDescent="0.45">
      <c r="A217" s="1"/>
    </row>
    <row r="218" spans="1:1" x14ac:dyDescent="0.45">
      <c r="A218" s="1"/>
    </row>
    <row r="219" spans="1:1" x14ac:dyDescent="0.45">
      <c r="A219" s="1"/>
    </row>
    <row r="220" spans="1:1" x14ac:dyDescent="0.45">
      <c r="A220" s="1"/>
    </row>
    <row r="221" spans="1:1" x14ac:dyDescent="0.45">
      <c r="A221" s="1"/>
    </row>
    <row r="222" spans="1:1" x14ac:dyDescent="0.45">
      <c r="A222" s="1"/>
    </row>
    <row r="223" spans="1:1" x14ac:dyDescent="0.45">
      <c r="A223" s="1"/>
    </row>
    <row r="224" spans="1:1" x14ac:dyDescent="0.45">
      <c r="A224" s="1"/>
    </row>
    <row r="225" spans="1:1" x14ac:dyDescent="0.45">
      <c r="A225" s="1"/>
    </row>
    <row r="226" spans="1:1" x14ac:dyDescent="0.45">
      <c r="A226" s="1"/>
    </row>
    <row r="227" spans="1:1" x14ac:dyDescent="0.45">
      <c r="A227" s="1"/>
    </row>
    <row r="228" spans="1:1" x14ac:dyDescent="0.45">
      <c r="A228" s="1"/>
    </row>
    <row r="229" spans="1:1" x14ac:dyDescent="0.45">
      <c r="A229" s="1"/>
    </row>
    <row r="230" spans="1:1" x14ac:dyDescent="0.45">
      <c r="A230" s="1"/>
    </row>
    <row r="231" spans="1:1" x14ac:dyDescent="0.45">
      <c r="A231" s="1"/>
    </row>
    <row r="232" spans="1:1" x14ac:dyDescent="0.45">
      <c r="A232" s="1"/>
    </row>
    <row r="233" spans="1:1" x14ac:dyDescent="0.45">
      <c r="A233" s="1"/>
    </row>
    <row r="234" spans="1:1" x14ac:dyDescent="0.45">
      <c r="A234" s="1"/>
    </row>
    <row r="235" spans="1:1" x14ac:dyDescent="0.45">
      <c r="A235" s="1"/>
    </row>
    <row r="236" spans="1:1" x14ac:dyDescent="0.45">
      <c r="A236" s="1"/>
    </row>
    <row r="237" spans="1:1" x14ac:dyDescent="0.45">
      <c r="A237" s="1"/>
    </row>
    <row r="238" spans="1:1" x14ac:dyDescent="0.45">
      <c r="A238" s="1"/>
    </row>
    <row r="239" spans="1:1" x14ac:dyDescent="0.45">
      <c r="A239" s="1"/>
    </row>
    <row r="240" spans="1:1" x14ac:dyDescent="0.45">
      <c r="A240" s="1"/>
    </row>
    <row r="241" spans="1:1" x14ac:dyDescent="0.45">
      <c r="A241" s="1"/>
    </row>
    <row r="242" spans="1:1" x14ac:dyDescent="0.45">
      <c r="A242" s="1"/>
    </row>
    <row r="243" spans="1:1" x14ac:dyDescent="0.45">
      <c r="A243" s="1"/>
    </row>
    <row r="244" spans="1:1" x14ac:dyDescent="0.45">
      <c r="A244" s="1"/>
    </row>
    <row r="245" spans="1:1" x14ac:dyDescent="0.45">
      <c r="A245" s="1"/>
    </row>
    <row r="246" spans="1:1" x14ac:dyDescent="0.45">
      <c r="A246" s="1"/>
    </row>
    <row r="247" spans="1:1" x14ac:dyDescent="0.45">
      <c r="A247" s="1"/>
    </row>
    <row r="248" spans="1:1" x14ac:dyDescent="0.45">
      <c r="A248" s="1"/>
    </row>
    <row r="249" spans="1:1" x14ac:dyDescent="0.45">
      <c r="A249" s="1"/>
    </row>
    <row r="250" spans="1:1" x14ac:dyDescent="0.45">
      <c r="A250" s="1"/>
    </row>
    <row r="251" spans="1:1" x14ac:dyDescent="0.45">
      <c r="A251" s="1"/>
    </row>
    <row r="252" spans="1:1" x14ac:dyDescent="0.45">
      <c r="A252" s="1"/>
    </row>
    <row r="253" spans="1:1" x14ac:dyDescent="0.45">
      <c r="A253" s="1"/>
    </row>
    <row r="254" spans="1:1" x14ac:dyDescent="0.45">
      <c r="A254" s="1"/>
    </row>
    <row r="255" spans="1:1" x14ac:dyDescent="0.45">
      <c r="A255" s="1"/>
    </row>
    <row r="256" spans="1:1" x14ac:dyDescent="0.45">
      <c r="A256" s="1"/>
    </row>
    <row r="257" spans="1:1" x14ac:dyDescent="0.45">
      <c r="A257" s="1"/>
    </row>
    <row r="258" spans="1:1" x14ac:dyDescent="0.45">
      <c r="A258" s="1"/>
    </row>
    <row r="259" spans="1:1" x14ac:dyDescent="0.45">
      <c r="A259" s="1"/>
    </row>
    <row r="260" spans="1:1" x14ac:dyDescent="0.45">
      <c r="A260" s="1"/>
    </row>
    <row r="261" spans="1:1" x14ac:dyDescent="0.45">
      <c r="A261" s="1"/>
    </row>
    <row r="262" spans="1:1" x14ac:dyDescent="0.45">
      <c r="A262" s="1"/>
    </row>
    <row r="263" spans="1:1" x14ac:dyDescent="0.45">
      <c r="A263" s="1"/>
    </row>
    <row r="264" spans="1:1" x14ac:dyDescent="0.45">
      <c r="A264" s="1"/>
    </row>
    <row r="265" spans="1:1" x14ac:dyDescent="0.45">
      <c r="A265" s="1"/>
    </row>
    <row r="266" spans="1:1" x14ac:dyDescent="0.45">
      <c r="A266" s="1"/>
    </row>
    <row r="267" spans="1:1" x14ac:dyDescent="0.45">
      <c r="A267" s="1"/>
    </row>
    <row r="268" spans="1:1" x14ac:dyDescent="0.45">
      <c r="A268" s="1"/>
    </row>
    <row r="269" spans="1:1" x14ac:dyDescent="0.45">
      <c r="A269" s="1"/>
    </row>
    <row r="270" spans="1:1" x14ac:dyDescent="0.45">
      <c r="A270" s="1"/>
    </row>
    <row r="271" spans="1:1" x14ac:dyDescent="0.45">
      <c r="A271" s="1"/>
    </row>
    <row r="272" spans="1:1" x14ac:dyDescent="0.45">
      <c r="A272" s="1"/>
    </row>
    <row r="273" spans="1:1" x14ac:dyDescent="0.45">
      <c r="A273" s="1"/>
    </row>
    <row r="274" spans="1:1" x14ac:dyDescent="0.45">
      <c r="A274" s="1"/>
    </row>
    <row r="275" spans="1:1" x14ac:dyDescent="0.45">
      <c r="A275" s="1"/>
    </row>
    <row r="276" spans="1:1" x14ac:dyDescent="0.45">
      <c r="A276" s="1"/>
    </row>
    <row r="277" spans="1:1" x14ac:dyDescent="0.45">
      <c r="A277" s="1"/>
    </row>
    <row r="278" spans="1:1" x14ac:dyDescent="0.45">
      <c r="A278" s="1"/>
    </row>
    <row r="279" spans="1:1" x14ac:dyDescent="0.45">
      <c r="A279" s="1"/>
    </row>
    <row r="280" spans="1:1" x14ac:dyDescent="0.45">
      <c r="A280" s="1"/>
    </row>
    <row r="281" spans="1:1" x14ac:dyDescent="0.45">
      <c r="A281" s="1"/>
    </row>
    <row r="282" spans="1:1" x14ac:dyDescent="0.45">
      <c r="A282" s="1"/>
    </row>
    <row r="283" spans="1:1" x14ac:dyDescent="0.45">
      <c r="A283" s="1"/>
    </row>
    <row r="284" spans="1:1" x14ac:dyDescent="0.45">
      <c r="A284" s="1"/>
    </row>
    <row r="285" spans="1:1" x14ac:dyDescent="0.45">
      <c r="A285" s="1"/>
    </row>
    <row r="286" spans="1:1" x14ac:dyDescent="0.45">
      <c r="A286" s="1"/>
    </row>
    <row r="287" spans="1:1" x14ac:dyDescent="0.45">
      <c r="A287" s="1"/>
    </row>
    <row r="288" spans="1:1" x14ac:dyDescent="0.45">
      <c r="A288" s="1"/>
    </row>
    <row r="289" spans="1:1" x14ac:dyDescent="0.45">
      <c r="A289" s="1"/>
    </row>
    <row r="290" spans="1:1" x14ac:dyDescent="0.45">
      <c r="A290" s="1"/>
    </row>
    <row r="291" spans="1:1" x14ac:dyDescent="0.45">
      <c r="A291" s="1"/>
    </row>
    <row r="292" spans="1:1" x14ac:dyDescent="0.45">
      <c r="A292" s="1"/>
    </row>
    <row r="293" spans="1:1" x14ac:dyDescent="0.45">
      <c r="A293" s="1"/>
    </row>
    <row r="294" spans="1:1" x14ac:dyDescent="0.45">
      <c r="A294" s="1"/>
    </row>
    <row r="295" spans="1:1" x14ac:dyDescent="0.45">
      <c r="A295" s="1"/>
    </row>
    <row r="296" spans="1:1" x14ac:dyDescent="0.45">
      <c r="A296" s="1"/>
    </row>
    <row r="297" spans="1:1" x14ac:dyDescent="0.45">
      <c r="A297" s="1"/>
    </row>
    <row r="298" spans="1:1" x14ac:dyDescent="0.45">
      <c r="A298" s="1"/>
    </row>
    <row r="299" spans="1:1" x14ac:dyDescent="0.45">
      <c r="A299" s="1"/>
    </row>
    <row r="300" spans="1:1" x14ac:dyDescent="0.45">
      <c r="A300" s="1"/>
    </row>
    <row r="301" spans="1:1" x14ac:dyDescent="0.45">
      <c r="A301" s="1"/>
    </row>
    <row r="302" spans="1:1" x14ac:dyDescent="0.45">
      <c r="A302" s="1"/>
    </row>
    <row r="303" spans="1:1" x14ac:dyDescent="0.45">
      <c r="A303" s="1"/>
    </row>
    <row r="304" spans="1:1" x14ac:dyDescent="0.45">
      <c r="A304" s="1"/>
    </row>
    <row r="305" spans="1:1" x14ac:dyDescent="0.45">
      <c r="A305" s="1"/>
    </row>
    <row r="306" spans="1:1" x14ac:dyDescent="0.45">
      <c r="A306" s="1"/>
    </row>
    <row r="307" spans="1:1" x14ac:dyDescent="0.45">
      <c r="A307" s="1"/>
    </row>
    <row r="308" spans="1:1" x14ac:dyDescent="0.45">
      <c r="A308" s="1"/>
    </row>
    <row r="309" spans="1:1" x14ac:dyDescent="0.45">
      <c r="A309" s="1"/>
    </row>
    <row r="310" spans="1:1" x14ac:dyDescent="0.45">
      <c r="A310" s="1"/>
    </row>
    <row r="311" spans="1:1" x14ac:dyDescent="0.45">
      <c r="A311" s="1"/>
    </row>
    <row r="312" spans="1:1" x14ac:dyDescent="0.45">
      <c r="A312" s="1"/>
    </row>
    <row r="313" spans="1:1" x14ac:dyDescent="0.45">
      <c r="A313" s="1"/>
    </row>
    <row r="314" spans="1:1" x14ac:dyDescent="0.45">
      <c r="A314" s="1"/>
    </row>
    <row r="315" spans="1:1" x14ac:dyDescent="0.45">
      <c r="A315" s="1"/>
    </row>
    <row r="316" spans="1:1" x14ac:dyDescent="0.45">
      <c r="A316" s="1"/>
    </row>
    <row r="317" spans="1:1" x14ac:dyDescent="0.45">
      <c r="A317" s="1"/>
    </row>
    <row r="318" spans="1:1" x14ac:dyDescent="0.45">
      <c r="A318" s="1"/>
    </row>
    <row r="319" spans="1:1" x14ac:dyDescent="0.45">
      <c r="A319" s="1"/>
    </row>
    <row r="320" spans="1:1" x14ac:dyDescent="0.45">
      <c r="A320" s="1"/>
    </row>
    <row r="321" spans="1:1" x14ac:dyDescent="0.45">
      <c r="A321" s="1"/>
    </row>
    <row r="322" spans="1:1" x14ac:dyDescent="0.45">
      <c r="A322" s="1"/>
    </row>
    <row r="323" spans="1:1" x14ac:dyDescent="0.45">
      <c r="A323" s="1"/>
    </row>
    <row r="324" spans="1:1" x14ac:dyDescent="0.45">
      <c r="A324" s="1"/>
    </row>
    <row r="325" spans="1:1" x14ac:dyDescent="0.45">
      <c r="A325" s="1"/>
    </row>
    <row r="326" spans="1:1" x14ac:dyDescent="0.45">
      <c r="A326" s="1"/>
    </row>
    <row r="327" spans="1:1" x14ac:dyDescent="0.45">
      <c r="A327" s="1"/>
    </row>
    <row r="328" spans="1:1" x14ac:dyDescent="0.45">
      <c r="A328" s="1"/>
    </row>
    <row r="329" spans="1:1" x14ac:dyDescent="0.45">
      <c r="A329" s="1"/>
    </row>
    <row r="330" spans="1:1" x14ac:dyDescent="0.45">
      <c r="A330" s="1"/>
    </row>
    <row r="331" spans="1:1" x14ac:dyDescent="0.45">
      <c r="A331" s="1"/>
    </row>
    <row r="332" spans="1:1" x14ac:dyDescent="0.45">
      <c r="A332" s="1"/>
    </row>
    <row r="333" spans="1:1" x14ac:dyDescent="0.45">
      <c r="A333" s="1"/>
    </row>
    <row r="334" spans="1:1" x14ac:dyDescent="0.45">
      <c r="A334" s="1"/>
    </row>
    <row r="335" spans="1:1" x14ac:dyDescent="0.45">
      <c r="A335" s="1"/>
    </row>
    <row r="336" spans="1:1" x14ac:dyDescent="0.45">
      <c r="A336" s="1"/>
    </row>
    <row r="337" spans="1:1" x14ac:dyDescent="0.45">
      <c r="A337" s="1"/>
    </row>
    <row r="338" spans="1:1" x14ac:dyDescent="0.45">
      <c r="A338" s="1"/>
    </row>
    <row r="339" spans="1:1" x14ac:dyDescent="0.45">
      <c r="A339" s="1"/>
    </row>
    <row r="340" spans="1:1" x14ac:dyDescent="0.45">
      <c r="A340" s="1"/>
    </row>
    <row r="341" spans="1:1" x14ac:dyDescent="0.45">
      <c r="A341" s="1"/>
    </row>
    <row r="342" spans="1:1" x14ac:dyDescent="0.45">
      <c r="A342" s="1"/>
    </row>
    <row r="343" spans="1:1" x14ac:dyDescent="0.45">
      <c r="A343" s="1"/>
    </row>
    <row r="344" spans="1:1" x14ac:dyDescent="0.45">
      <c r="A344" s="1"/>
    </row>
    <row r="345" spans="1:1" x14ac:dyDescent="0.45">
      <c r="A345" s="1"/>
    </row>
    <row r="346" spans="1:1" x14ac:dyDescent="0.45">
      <c r="A346" s="1"/>
    </row>
    <row r="347" spans="1:1" x14ac:dyDescent="0.45">
      <c r="A347" s="1"/>
    </row>
    <row r="348" spans="1:1" x14ac:dyDescent="0.45">
      <c r="A348" s="1"/>
    </row>
    <row r="349" spans="1:1" x14ac:dyDescent="0.45">
      <c r="A349" s="1"/>
    </row>
    <row r="350" spans="1:1" x14ac:dyDescent="0.45">
      <c r="A350" s="1"/>
    </row>
    <row r="351" spans="1:1" x14ac:dyDescent="0.45">
      <c r="A351" s="1"/>
    </row>
    <row r="352" spans="1:1" x14ac:dyDescent="0.45">
      <c r="A352" s="1"/>
    </row>
    <row r="353" spans="1:1" x14ac:dyDescent="0.45">
      <c r="A353" s="1"/>
    </row>
    <row r="354" spans="1:1" x14ac:dyDescent="0.45">
      <c r="A354" s="1"/>
    </row>
    <row r="355" spans="1:1" x14ac:dyDescent="0.45">
      <c r="A355" s="1"/>
    </row>
    <row r="356" spans="1:1" x14ac:dyDescent="0.45">
      <c r="A356" s="1"/>
    </row>
    <row r="357" spans="1:1" x14ac:dyDescent="0.45">
      <c r="A357" s="1"/>
    </row>
    <row r="358" spans="1:1" x14ac:dyDescent="0.45">
      <c r="A358" s="1"/>
    </row>
    <row r="359" spans="1:1" x14ac:dyDescent="0.45">
      <c r="A359" s="1"/>
    </row>
    <row r="360" spans="1:1" x14ac:dyDescent="0.45">
      <c r="A360" s="1"/>
    </row>
    <row r="361" spans="1:1" x14ac:dyDescent="0.45">
      <c r="A361" s="1"/>
    </row>
    <row r="362" spans="1:1" x14ac:dyDescent="0.45">
      <c r="A362" s="1"/>
    </row>
    <row r="363" spans="1:1" x14ac:dyDescent="0.45">
      <c r="A363" s="1"/>
    </row>
    <row r="364" spans="1:1" x14ac:dyDescent="0.45">
      <c r="A364" s="1"/>
    </row>
    <row r="365" spans="1:1" x14ac:dyDescent="0.45">
      <c r="A365" s="1"/>
    </row>
    <row r="366" spans="1:1" x14ac:dyDescent="0.45">
      <c r="A366" s="1"/>
    </row>
    <row r="367" spans="1:1" x14ac:dyDescent="0.45">
      <c r="A367" s="1"/>
    </row>
    <row r="368" spans="1:1" x14ac:dyDescent="0.45">
      <c r="A368" s="1"/>
    </row>
    <row r="369" spans="1:1" x14ac:dyDescent="0.45">
      <c r="A369" s="1"/>
    </row>
    <row r="370" spans="1:1" x14ac:dyDescent="0.45">
      <c r="A370" s="1"/>
    </row>
    <row r="371" spans="1:1" x14ac:dyDescent="0.45">
      <c r="A371" s="1"/>
    </row>
    <row r="372" spans="1:1" x14ac:dyDescent="0.45">
      <c r="A372" s="1"/>
    </row>
    <row r="373" spans="1:1" x14ac:dyDescent="0.45">
      <c r="A373" s="1"/>
    </row>
    <row r="374" spans="1:1" x14ac:dyDescent="0.45">
      <c r="A374" s="1"/>
    </row>
    <row r="375" spans="1:1" x14ac:dyDescent="0.45">
      <c r="A375" s="1"/>
    </row>
    <row r="376" spans="1:1" x14ac:dyDescent="0.45">
      <c r="A376" s="1"/>
    </row>
    <row r="377" spans="1:1" x14ac:dyDescent="0.45">
      <c r="A377" s="1"/>
    </row>
    <row r="378" spans="1:1" x14ac:dyDescent="0.45">
      <c r="A378" s="1"/>
    </row>
    <row r="379" spans="1:1" x14ac:dyDescent="0.45">
      <c r="A379" s="1"/>
    </row>
    <row r="380" spans="1:1" x14ac:dyDescent="0.45">
      <c r="A380" s="1"/>
    </row>
    <row r="381" spans="1:1" x14ac:dyDescent="0.45">
      <c r="A381" s="1"/>
    </row>
    <row r="382" spans="1:1" x14ac:dyDescent="0.45">
      <c r="A382" s="1"/>
    </row>
    <row r="383" spans="1:1" x14ac:dyDescent="0.45">
      <c r="A383" s="1"/>
    </row>
    <row r="384" spans="1:1" x14ac:dyDescent="0.45">
      <c r="A384" s="1"/>
    </row>
    <row r="385" spans="1:1" x14ac:dyDescent="0.45">
      <c r="A385" s="1"/>
    </row>
    <row r="386" spans="1:1" x14ac:dyDescent="0.45">
      <c r="A386" s="1"/>
    </row>
    <row r="387" spans="1:1" x14ac:dyDescent="0.45">
      <c r="A387" s="1"/>
    </row>
    <row r="388" spans="1:1" x14ac:dyDescent="0.45">
      <c r="A388" s="1"/>
    </row>
    <row r="389" spans="1:1" x14ac:dyDescent="0.45">
      <c r="A389" s="1"/>
    </row>
    <row r="390" spans="1:1" x14ac:dyDescent="0.45">
      <c r="A390" s="1"/>
    </row>
    <row r="391" spans="1:1" x14ac:dyDescent="0.45">
      <c r="A391" s="1"/>
    </row>
    <row r="392" spans="1:1" x14ac:dyDescent="0.45">
      <c r="A392" s="1"/>
    </row>
    <row r="393" spans="1:1" x14ac:dyDescent="0.45">
      <c r="A393" s="1"/>
    </row>
    <row r="394" spans="1:1" x14ac:dyDescent="0.45">
      <c r="A394" s="1"/>
    </row>
    <row r="395" spans="1:1" x14ac:dyDescent="0.45">
      <c r="A395" s="1"/>
    </row>
    <row r="396" spans="1:1" x14ac:dyDescent="0.45">
      <c r="A396" s="1"/>
    </row>
    <row r="397" spans="1:1" x14ac:dyDescent="0.45">
      <c r="A397" s="1"/>
    </row>
    <row r="398" spans="1:1" x14ac:dyDescent="0.45">
      <c r="A398" s="1"/>
    </row>
    <row r="399" spans="1:1" x14ac:dyDescent="0.45">
      <c r="A399" s="1"/>
    </row>
    <row r="400" spans="1:1" x14ac:dyDescent="0.45">
      <c r="A400" s="1"/>
    </row>
    <row r="401" spans="1:1" x14ac:dyDescent="0.45">
      <c r="A401" s="1"/>
    </row>
    <row r="402" spans="1:1" x14ac:dyDescent="0.45">
      <c r="A402" s="1"/>
    </row>
    <row r="403" spans="1:1" x14ac:dyDescent="0.45">
      <c r="A403" s="1"/>
    </row>
    <row r="404" spans="1:1" x14ac:dyDescent="0.45">
      <c r="A404" s="1"/>
    </row>
    <row r="405" spans="1:1" x14ac:dyDescent="0.45">
      <c r="A405" s="1"/>
    </row>
    <row r="406" spans="1:1" x14ac:dyDescent="0.45">
      <c r="A406" s="1"/>
    </row>
    <row r="407" spans="1:1" x14ac:dyDescent="0.45">
      <c r="A407" s="1"/>
    </row>
    <row r="408" spans="1:1" x14ac:dyDescent="0.45">
      <c r="A408" s="1"/>
    </row>
    <row r="409" spans="1:1" x14ac:dyDescent="0.45">
      <c r="A409" s="1"/>
    </row>
    <row r="410" spans="1:1" x14ac:dyDescent="0.45">
      <c r="A410" s="1"/>
    </row>
    <row r="411" spans="1:1" x14ac:dyDescent="0.45">
      <c r="A411" s="1"/>
    </row>
    <row r="412" spans="1:1" x14ac:dyDescent="0.45">
      <c r="A412" s="1"/>
    </row>
    <row r="413" spans="1:1" x14ac:dyDescent="0.45">
      <c r="A413" s="1"/>
    </row>
    <row r="414" spans="1:1" x14ac:dyDescent="0.45">
      <c r="A414" s="1"/>
    </row>
    <row r="415" spans="1:1" x14ac:dyDescent="0.45">
      <c r="A415" s="1"/>
    </row>
    <row r="416" spans="1:1" x14ac:dyDescent="0.45">
      <c r="A416" s="1"/>
    </row>
    <row r="417" spans="1:1" x14ac:dyDescent="0.45">
      <c r="A417" s="1"/>
    </row>
    <row r="418" spans="1:1" x14ac:dyDescent="0.45">
      <c r="A418" s="1"/>
    </row>
    <row r="419" spans="1:1" x14ac:dyDescent="0.45">
      <c r="A419" s="1"/>
    </row>
    <row r="420" spans="1:1" x14ac:dyDescent="0.45">
      <c r="A420" s="1"/>
    </row>
    <row r="421" spans="1:1" x14ac:dyDescent="0.45">
      <c r="A421" s="1"/>
    </row>
    <row r="422" spans="1:1" x14ac:dyDescent="0.45">
      <c r="A422" s="1"/>
    </row>
    <row r="423" spans="1:1" x14ac:dyDescent="0.45">
      <c r="A423" s="1"/>
    </row>
    <row r="424" spans="1:1" x14ac:dyDescent="0.45">
      <c r="A424" s="1"/>
    </row>
    <row r="425" spans="1:1" x14ac:dyDescent="0.45">
      <c r="A425" s="1"/>
    </row>
    <row r="426" spans="1:1" x14ac:dyDescent="0.45">
      <c r="A426" s="1"/>
    </row>
    <row r="427" spans="1:1" x14ac:dyDescent="0.45">
      <c r="A427" s="1"/>
    </row>
    <row r="428" spans="1:1" x14ac:dyDescent="0.45">
      <c r="A428" s="1"/>
    </row>
    <row r="429" spans="1:1" x14ac:dyDescent="0.45">
      <c r="A429" s="1"/>
    </row>
    <row r="430" spans="1:1" x14ac:dyDescent="0.45">
      <c r="A430" s="1"/>
    </row>
    <row r="431" spans="1:1" x14ac:dyDescent="0.45">
      <c r="A431" s="1"/>
    </row>
    <row r="432" spans="1:1" x14ac:dyDescent="0.45">
      <c r="A432" s="1"/>
    </row>
    <row r="433" spans="1:1" x14ac:dyDescent="0.45">
      <c r="A433" s="1"/>
    </row>
    <row r="434" spans="1:1" x14ac:dyDescent="0.45">
      <c r="A434" s="1"/>
    </row>
    <row r="435" spans="1:1" x14ac:dyDescent="0.45">
      <c r="A435" s="1"/>
    </row>
    <row r="436" spans="1:1" x14ac:dyDescent="0.45">
      <c r="A436" s="1"/>
    </row>
    <row r="437" spans="1:1" x14ac:dyDescent="0.45">
      <c r="A437" s="1"/>
    </row>
    <row r="438" spans="1:1" x14ac:dyDescent="0.45">
      <c r="A438" s="1"/>
    </row>
    <row r="439" spans="1:1" x14ac:dyDescent="0.45">
      <c r="A439" s="1"/>
    </row>
    <row r="440" spans="1:1" x14ac:dyDescent="0.45">
      <c r="A440" s="1"/>
    </row>
    <row r="441" spans="1:1" x14ac:dyDescent="0.45">
      <c r="A441" s="1"/>
    </row>
    <row r="442" spans="1:1" x14ac:dyDescent="0.45">
      <c r="A442" s="1"/>
    </row>
    <row r="443" spans="1:1" x14ac:dyDescent="0.45">
      <c r="A443" s="1"/>
    </row>
    <row r="444" spans="1:1" x14ac:dyDescent="0.45">
      <c r="A444" s="1"/>
    </row>
    <row r="445" spans="1:1" x14ac:dyDescent="0.45">
      <c r="A445" s="1"/>
    </row>
    <row r="446" spans="1:1" x14ac:dyDescent="0.45">
      <c r="A446" s="1"/>
    </row>
    <row r="447" spans="1:1" x14ac:dyDescent="0.45">
      <c r="A447" s="1"/>
    </row>
    <row r="448" spans="1:1" x14ac:dyDescent="0.45">
      <c r="A448" s="1"/>
    </row>
    <row r="449" spans="1:1" x14ac:dyDescent="0.45">
      <c r="A449" s="1"/>
    </row>
    <row r="450" spans="1:1" x14ac:dyDescent="0.45">
      <c r="A450" s="1"/>
    </row>
    <row r="451" spans="1:1" x14ac:dyDescent="0.45">
      <c r="A451" s="1"/>
    </row>
    <row r="452" spans="1:1" x14ac:dyDescent="0.45">
      <c r="A452" s="1"/>
    </row>
    <row r="453" spans="1:1" x14ac:dyDescent="0.45">
      <c r="A453" s="1"/>
    </row>
    <row r="454" spans="1:1" x14ac:dyDescent="0.45">
      <c r="A454" s="1"/>
    </row>
    <row r="455" spans="1:1" x14ac:dyDescent="0.45">
      <c r="A455" s="1"/>
    </row>
    <row r="456" spans="1:1" x14ac:dyDescent="0.45">
      <c r="A456" s="1"/>
    </row>
    <row r="457" spans="1:1" x14ac:dyDescent="0.45">
      <c r="A457" s="1"/>
    </row>
    <row r="458" spans="1:1" x14ac:dyDescent="0.45">
      <c r="A458" s="1"/>
    </row>
    <row r="459" spans="1:1" x14ac:dyDescent="0.45">
      <c r="A459" s="1"/>
    </row>
    <row r="460" spans="1:1" x14ac:dyDescent="0.45">
      <c r="A460" s="1"/>
    </row>
    <row r="461" spans="1:1" x14ac:dyDescent="0.45">
      <c r="A461" s="1"/>
    </row>
    <row r="462" spans="1:1" x14ac:dyDescent="0.45">
      <c r="A462" s="1"/>
    </row>
    <row r="463" spans="1:1" x14ac:dyDescent="0.45">
      <c r="A463" s="1"/>
    </row>
    <row r="464" spans="1:1" x14ac:dyDescent="0.45">
      <c r="A464" s="1"/>
    </row>
    <row r="465" spans="1:1" x14ac:dyDescent="0.45">
      <c r="A465" s="1"/>
    </row>
    <row r="466" spans="1:1" x14ac:dyDescent="0.45">
      <c r="A466" s="1"/>
    </row>
    <row r="467" spans="1:1" x14ac:dyDescent="0.45">
      <c r="A467" s="1"/>
    </row>
    <row r="468" spans="1:1" x14ac:dyDescent="0.45">
      <c r="A468" s="1"/>
    </row>
    <row r="469" spans="1:1" x14ac:dyDescent="0.45">
      <c r="A469" s="1"/>
    </row>
    <row r="470" spans="1:1" x14ac:dyDescent="0.45">
      <c r="A470" s="1"/>
    </row>
    <row r="471" spans="1:1" x14ac:dyDescent="0.45">
      <c r="A471" s="1"/>
    </row>
    <row r="472" spans="1:1" x14ac:dyDescent="0.45">
      <c r="A472" s="1"/>
    </row>
    <row r="473" spans="1:1" x14ac:dyDescent="0.45">
      <c r="A473" s="1"/>
    </row>
    <row r="474" spans="1:1" x14ac:dyDescent="0.45">
      <c r="A474" s="1"/>
    </row>
    <row r="475" spans="1:1" x14ac:dyDescent="0.45">
      <c r="A475" s="1"/>
    </row>
    <row r="476" spans="1:1" x14ac:dyDescent="0.45">
      <c r="A476" s="1"/>
    </row>
    <row r="477" spans="1:1" x14ac:dyDescent="0.45">
      <c r="A477" s="1"/>
    </row>
    <row r="478" spans="1:1" x14ac:dyDescent="0.45">
      <c r="A478" s="1"/>
    </row>
    <row r="479" spans="1:1" x14ac:dyDescent="0.45">
      <c r="A479" s="1"/>
    </row>
    <row r="480" spans="1:1" x14ac:dyDescent="0.45">
      <c r="A480" s="1"/>
    </row>
    <row r="481" spans="1:1" x14ac:dyDescent="0.45">
      <c r="A481" s="1"/>
    </row>
    <row r="482" spans="1:1" x14ac:dyDescent="0.45">
      <c r="A482" s="1"/>
    </row>
    <row r="483" spans="1:1" x14ac:dyDescent="0.45">
      <c r="A483" s="1"/>
    </row>
    <row r="484" spans="1:1" x14ac:dyDescent="0.45">
      <c r="A484" s="1"/>
    </row>
    <row r="485" spans="1:1" x14ac:dyDescent="0.45">
      <c r="A485" s="1"/>
    </row>
    <row r="486" spans="1:1" x14ac:dyDescent="0.45">
      <c r="A486" s="1"/>
    </row>
    <row r="487" spans="1:1" x14ac:dyDescent="0.45">
      <c r="A487" s="1"/>
    </row>
    <row r="488" spans="1:1" x14ac:dyDescent="0.45">
      <c r="A488" s="1"/>
    </row>
    <row r="489" spans="1:1" x14ac:dyDescent="0.45">
      <c r="A489" s="1"/>
    </row>
    <row r="490" spans="1:1" x14ac:dyDescent="0.45">
      <c r="A490" s="1"/>
    </row>
    <row r="491" spans="1:1" x14ac:dyDescent="0.45">
      <c r="A491" s="1"/>
    </row>
    <row r="492" spans="1:1" x14ac:dyDescent="0.45">
      <c r="A492" s="1"/>
    </row>
    <row r="493" spans="1:1" x14ac:dyDescent="0.45">
      <c r="A493" s="1"/>
    </row>
    <row r="494" spans="1:1" x14ac:dyDescent="0.45">
      <c r="A494" s="1"/>
    </row>
    <row r="495" spans="1:1" x14ac:dyDescent="0.45">
      <c r="A495" s="1"/>
    </row>
    <row r="496" spans="1:1" x14ac:dyDescent="0.45">
      <c r="A496" s="1"/>
    </row>
    <row r="497" spans="1:1" x14ac:dyDescent="0.45">
      <c r="A497" s="1"/>
    </row>
    <row r="498" spans="1:1" x14ac:dyDescent="0.45">
      <c r="A498" s="1"/>
    </row>
    <row r="499" spans="1:1" x14ac:dyDescent="0.45">
      <c r="A499" s="1"/>
    </row>
    <row r="500" spans="1:1" x14ac:dyDescent="0.45">
      <c r="A500" s="1"/>
    </row>
    <row r="501" spans="1:1" x14ac:dyDescent="0.45">
      <c r="A501" s="1"/>
    </row>
    <row r="502" spans="1:1" x14ac:dyDescent="0.45">
      <c r="A502" s="1"/>
    </row>
    <row r="503" spans="1:1" x14ac:dyDescent="0.45">
      <c r="A503" s="1"/>
    </row>
    <row r="504" spans="1:1" x14ac:dyDescent="0.45">
      <c r="A504" s="1"/>
    </row>
    <row r="505" spans="1:1" x14ac:dyDescent="0.45">
      <c r="A505" s="1"/>
    </row>
    <row r="506" spans="1:1" x14ac:dyDescent="0.45">
      <c r="A506" s="1"/>
    </row>
    <row r="507" spans="1:1" x14ac:dyDescent="0.45">
      <c r="A507" s="1"/>
    </row>
    <row r="508" spans="1:1" x14ac:dyDescent="0.45">
      <c r="A508" s="1"/>
    </row>
    <row r="509" spans="1:1" x14ac:dyDescent="0.45">
      <c r="A509" s="1"/>
    </row>
    <row r="510" spans="1:1" x14ac:dyDescent="0.45">
      <c r="A510" s="1"/>
    </row>
    <row r="511" spans="1:1" x14ac:dyDescent="0.45">
      <c r="A511" s="1"/>
    </row>
    <row r="512" spans="1:1" x14ac:dyDescent="0.45">
      <c r="A512" s="1"/>
    </row>
    <row r="513" spans="1:1" x14ac:dyDescent="0.45">
      <c r="A513" s="1"/>
    </row>
    <row r="514" spans="1:1" x14ac:dyDescent="0.45">
      <c r="A514" s="1"/>
    </row>
    <row r="515" spans="1:1" x14ac:dyDescent="0.45">
      <c r="A515" s="1"/>
    </row>
    <row r="516" spans="1:1" x14ac:dyDescent="0.45">
      <c r="A516" s="1"/>
    </row>
    <row r="517" spans="1:1" x14ac:dyDescent="0.45">
      <c r="A517" s="1"/>
    </row>
    <row r="518" spans="1:1" x14ac:dyDescent="0.45">
      <c r="A518" s="1"/>
    </row>
    <row r="519" spans="1:1" x14ac:dyDescent="0.45">
      <c r="A519" s="1"/>
    </row>
    <row r="520" spans="1:1" x14ac:dyDescent="0.45">
      <c r="A520" s="1"/>
    </row>
    <row r="521" spans="1:1" x14ac:dyDescent="0.45">
      <c r="A521" s="1"/>
    </row>
    <row r="522" spans="1:1" x14ac:dyDescent="0.45">
      <c r="A522" s="1"/>
    </row>
    <row r="523" spans="1:1" x14ac:dyDescent="0.45">
      <c r="A523" s="1"/>
    </row>
    <row r="524" spans="1:1" x14ac:dyDescent="0.45">
      <c r="A524" s="1"/>
    </row>
    <row r="525" spans="1:1" x14ac:dyDescent="0.45">
      <c r="A525" s="1"/>
    </row>
    <row r="526" spans="1:1" x14ac:dyDescent="0.45">
      <c r="A526" s="1"/>
    </row>
    <row r="527" spans="1:1" x14ac:dyDescent="0.45">
      <c r="A527" s="1"/>
    </row>
    <row r="528" spans="1:1" x14ac:dyDescent="0.45">
      <c r="A528" s="1"/>
    </row>
    <row r="529" spans="1:1" x14ac:dyDescent="0.45">
      <c r="A529" s="1"/>
    </row>
    <row r="530" spans="1:1" x14ac:dyDescent="0.45">
      <c r="A530" s="1"/>
    </row>
    <row r="531" spans="1:1" x14ac:dyDescent="0.45">
      <c r="A531" s="1"/>
    </row>
    <row r="532" spans="1:1" x14ac:dyDescent="0.45">
      <c r="A532" s="1"/>
    </row>
    <row r="533" spans="1:1" x14ac:dyDescent="0.45">
      <c r="A533" s="1"/>
    </row>
    <row r="534" spans="1:1" x14ac:dyDescent="0.45">
      <c r="A534" s="1"/>
    </row>
    <row r="535" spans="1:1" x14ac:dyDescent="0.45">
      <c r="A535" s="1"/>
    </row>
    <row r="536" spans="1:1" x14ac:dyDescent="0.45">
      <c r="A536" s="1"/>
    </row>
    <row r="537" spans="1:1" x14ac:dyDescent="0.45">
      <c r="A537" s="1"/>
    </row>
    <row r="538" spans="1:1" x14ac:dyDescent="0.45">
      <c r="A538" s="1"/>
    </row>
    <row r="539" spans="1:1" x14ac:dyDescent="0.45">
      <c r="A539" s="1"/>
    </row>
    <row r="540" spans="1:1" x14ac:dyDescent="0.45">
      <c r="A540" s="1"/>
    </row>
    <row r="541" spans="1:1" x14ac:dyDescent="0.45">
      <c r="A541" s="1"/>
    </row>
    <row r="542" spans="1:1" x14ac:dyDescent="0.45">
      <c r="A542" s="1"/>
    </row>
    <row r="543" spans="1:1" x14ac:dyDescent="0.45">
      <c r="A543" s="1"/>
    </row>
    <row r="544" spans="1:1" x14ac:dyDescent="0.45">
      <c r="A544" s="1"/>
    </row>
    <row r="545" spans="1:1" x14ac:dyDescent="0.45">
      <c r="A545" s="1"/>
    </row>
    <row r="546" spans="1:1" x14ac:dyDescent="0.45">
      <c r="A546" s="1"/>
    </row>
    <row r="547" spans="1:1" x14ac:dyDescent="0.45">
      <c r="A547" s="1"/>
    </row>
    <row r="548" spans="1:1" x14ac:dyDescent="0.45">
      <c r="A548" s="1"/>
    </row>
    <row r="549" spans="1:1" x14ac:dyDescent="0.45">
      <c r="A549" s="1"/>
    </row>
    <row r="550" spans="1:1" x14ac:dyDescent="0.45">
      <c r="A550" s="1"/>
    </row>
    <row r="551" spans="1:1" x14ac:dyDescent="0.45">
      <c r="A551" s="1"/>
    </row>
    <row r="552" spans="1:1" x14ac:dyDescent="0.45">
      <c r="A552" s="1"/>
    </row>
    <row r="553" spans="1:1" x14ac:dyDescent="0.45">
      <c r="A553" s="1"/>
    </row>
    <row r="554" spans="1:1" x14ac:dyDescent="0.45">
      <c r="A554" s="1"/>
    </row>
    <row r="555" spans="1:1" x14ac:dyDescent="0.45">
      <c r="A555" s="1"/>
    </row>
    <row r="556" spans="1:1" x14ac:dyDescent="0.45">
      <c r="A556" s="1"/>
    </row>
    <row r="557" spans="1:1" x14ac:dyDescent="0.45">
      <c r="A557" s="1"/>
    </row>
    <row r="558" spans="1:1" x14ac:dyDescent="0.45">
      <c r="A558" s="1"/>
    </row>
    <row r="559" spans="1:1" x14ac:dyDescent="0.45">
      <c r="A559" s="1"/>
    </row>
    <row r="560" spans="1:1" x14ac:dyDescent="0.45">
      <c r="A560" s="1"/>
    </row>
    <row r="561" spans="1:1" x14ac:dyDescent="0.45">
      <c r="A561" s="1"/>
    </row>
    <row r="562" spans="1:1" x14ac:dyDescent="0.45">
      <c r="A562" s="1"/>
    </row>
    <row r="563" spans="1:1" x14ac:dyDescent="0.45">
      <c r="A563" s="1"/>
    </row>
    <row r="564" spans="1:1" x14ac:dyDescent="0.45">
      <c r="A564" s="1"/>
    </row>
    <row r="565" spans="1:1" x14ac:dyDescent="0.45">
      <c r="A565" s="1"/>
    </row>
    <row r="566" spans="1:1" x14ac:dyDescent="0.45">
      <c r="A566" s="1"/>
    </row>
    <row r="567" spans="1:1" x14ac:dyDescent="0.45">
      <c r="A567" s="1"/>
    </row>
    <row r="568" spans="1:1" x14ac:dyDescent="0.45">
      <c r="A568" s="1"/>
    </row>
    <row r="569" spans="1:1" x14ac:dyDescent="0.45">
      <c r="A569" s="1"/>
    </row>
    <row r="570" spans="1:1" x14ac:dyDescent="0.45">
      <c r="A570" s="1"/>
    </row>
    <row r="571" spans="1:1" x14ac:dyDescent="0.45">
      <c r="A571" s="1"/>
    </row>
    <row r="572" spans="1:1" x14ac:dyDescent="0.45">
      <c r="A572" s="1"/>
    </row>
    <row r="573" spans="1:1" x14ac:dyDescent="0.45">
      <c r="A573" s="1"/>
    </row>
    <row r="574" spans="1:1" x14ac:dyDescent="0.45">
      <c r="A574" s="1"/>
    </row>
    <row r="575" spans="1:1" x14ac:dyDescent="0.45">
      <c r="A575" s="1"/>
    </row>
    <row r="576" spans="1:1" x14ac:dyDescent="0.45">
      <c r="A576" s="1"/>
    </row>
    <row r="577" spans="1:1" x14ac:dyDescent="0.45">
      <c r="A577" s="1"/>
    </row>
    <row r="578" spans="1:1" x14ac:dyDescent="0.45">
      <c r="A578" s="1"/>
    </row>
    <row r="579" spans="1:1" x14ac:dyDescent="0.45">
      <c r="A579" s="1"/>
    </row>
    <row r="580" spans="1:1" x14ac:dyDescent="0.45">
      <c r="A580" s="1"/>
    </row>
    <row r="581" spans="1:1" x14ac:dyDescent="0.45">
      <c r="A581" s="1"/>
    </row>
    <row r="582" spans="1:1" x14ac:dyDescent="0.45">
      <c r="A582" s="1"/>
    </row>
    <row r="583" spans="1:1" x14ac:dyDescent="0.45">
      <c r="A583" s="1"/>
    </row>
    <row r="584" spans="1:1" x14ac:dyDescent="0.45">
      <c r="A584" s="1"/>
    </row>
    <row r="585" spans="1:1" x14ac:dyDescent="0.45">
      <c r="A585" s="1"/>
    </row>
    <row r="586" spans="1:1" x14ac:dyDescent="0.45">
      <c r="A586" s="1"/>
    </row>
    <row r="587" spans="1:1" x14ac:dyDescent="0.45">
      <c r="A587" s="1"/>
    </row>
    <row r="588" spans="1:1" x14ac:dyDescent="0.45">
      <c r="A588" s="1"/>
    </row>
    <row r="589" spans="1:1" x14ac:dyDescent="0.45">
      <c r="A589" s="1"/>
    </row>
    <row r="590" spans="1:1" x14ac:dyDescent="0.45">
      <c r="A590" s="1"/>
    </row>
    <row r="591" spans="1:1" x14ac:dyDescent="0.45">
      <c r="A591" s="1"/>
    </row>
    <row r="592" spans="1:1" x14ac:dyDescent="0.45">
      <c r="A592" s="1"/>
    </row>
    <row r="593" spans="1:1" x14ac:dyDescent="0.45">
      <c r="A593" s="1"/>
    </row>
    <row r="594" spans="1:1" x14ac:dyDescent="0.45">
      <c r="A594" s="1"/>
    </row>
    <row r="595" spans="1:1" x14ac:dyDescent="0.45">
      <c r="A595" s="1"/>
    </row>
    <row r="596" spans="1:1" x14ac:dyDescent="0.45">
      <c r="A596" s="1"/>
    </row>
    <row r="597" spans="1:1" x14ac:dyDescent="0.45">
      <c r="A597" s="1"/>
    </row>
    <row r="598" spans="1:1" x14ac:dyDescent="0.45">
      <c r="A598" s="1"/>
    </row>
    <row r="599" spans="1:1" x14ac:dyDescent="0.45">
      <c r="A599" s="1"/>
    </row>
    <row r="600" spans="1:1" x14ac:dyDescent="0.45">
      <c r="A600" s="1"/>
    </row>
    <row r="601" spans="1:1" x14ac:dyDescent="0.45">
      <c r="A601" s="1"/>
    </row>
    <row r="602" spans="1:1" x14ac:dyDescent="0.45">
      <c r="A602" s="1"/>
    </row>
    <row r="603" spans="1:1" x14ac:dyDescent="0.45">
      <c r="A603" s="1"/>
    </row>
    <row r="604" spans="1:1" x14ac:dyDescent="0.45">
      <c r="A604" s="1"/>
    </row>
    <row r="605" spans="1:1" x14ac:dyDescent="0.45">
      <c r="A605" s="1"/>
    </row>
    <row r="606" spans="1:1" x14ac:dyDescent="0.45">
      <c r="A606" s="1"/>
    </row>
    <row r="607" spans="1:1" x14ac:dyDescent="0.45">
      <c r="A607" s="1"/>
    </row>
    <row r="608" spans="1:1" x14ac:dyDescent="0.45">
      <c r="A608" s="1"/>
    </row>
    <row r="609" spans="1:1" x14ac:dyDescent="0.45">
      <c r="A609" s="1"/>
    </row>
    <row r="610" spans="1:1" x14ac:dyDescent="0.45">
      <c r="A610" s="1"/>
    </row>
    <row r="611" spans="1:1" x14ac:dyDescent="0.45">
      <c r="A611" s="1"/>
    </row>
    <row r="612" spans="1:1" x14ac:dyDescent="0.45">
      <c r="A612" s="1"/>
    </row>
    <row r="613" spans="1:1" x14ac:dyDescent="0.45">
      <c r="A613" s="1"/>
    </row>
    <row r="614" spans="1:1" x14ac:dyDescent="0.45">
      <c r="A614" s="1"/>
    </row>
    <row r="615" spans="1:1" x14ac:dyDescent="0.45">
      <c r="A615" s="1"/>
    </row>
    <row r="616" spans="1:1" x14ac:dyDescent="0.45">
      <c r="A616" s="1"/>
    </row>
    <row r="617" spans="1:1" x14ac:dyDescent="0.45">
      <c r="A617" s="1"/>
    </row>
    <row r="618" spans="1:1" x14ac:dyDescent="0.45">
      <c r="A618" s="1"/>
    </row>
    <row r="619" spans="1:1" x14ac:dyDescent="0.45">
      <c r="A619" s="1"/>
    </row>
    <row r="620" spans="1:1" x14ac:dyDescent="0.45">
      <c r="A620" s="1"/>
    </row>
    <row r="621" spans="1:1" x14ac:dyDescent="0.45">
      <c r="A621" s="1"/>
    </row>
    <row r="622" spans="1:1" x14ac:dyDescent="0.45">
      <c r="A622" s="1"/>
    </row>
    <row r="623" spans="1:1" x14ac:dyDescent="0.45">
      <c r="A623" s="1"/>
    </row>
    <row r="624" spans="1:1" x14ac:dyDescent="0.45">
      <c r="A624" s="1"/>
    </row>
    <row r="625" spans="1:1" x14ac:dyDescent="0.45">
      <c r="A625" s="1"/>
    </row>
    <row r="626" spans="1:1" x14ac:dyDescent="0.45">
      <c r="A626" s="1"/>
    </row>
    <row r="627" spans="1:1" x14ac:dyDescent="0.45">
      <c r="A627" s="1"/>
    </row>
    <row r="628" spans="1:1" x14ac:dyDescent="0.45">
      <c r="A628" s="1"/>
    </row>
    <row r="629" spans="1:1" x14ac:dyDescent="0.45">
      <c r="A629" s="1"/>
    </row>
    <row r="630" spans="1:1" x14ac:dyDescent="0.45">
      <c r="A630" s="1"/>
    </row>
    <row r="631" spans="1:1" x14ac:dyDescent="0.45">
      <c r="A631" s="1"/>
    </row>
    <row r="632" spans="1:1" x14ac:dyDescent="0.45">
      <c r="A632" s="1"/>
    </row>
    <row r="633" spans="1:1" x14ac:dyDescent="0.45">
      <c r="A633" s="1"/>
    </row>
    <row r="634" spans="1:1" x14ac:dyDescent="0.45">
      <c r="A634" s="1"/>
    </row>
    <row r="635" spans="1:1" x14ac:dyDescent="0.45">
      <c r="A635" s="1"/>
    </row>
    <row r="636" spans="1:1" x14ac:dyDescent="0.45">
      <c r="A636" s="1"/>
    </row>
    <row r="637" spans="1:1" x14ac:dyDescent="0.45">
      <c r="A637" s="1"/>
    </row>
    <row r="638" spans="1:1" x14ac:dyDescent="0.45">
      <c r="A638" s="1"/>
    </row>
    <row r="639" spans="1:1" x14ac:dyDescent="0.45">
      <c r="A639" s="1"/>
    </row>
    <row r="640" spans="1:1" x14ac:dyDescent="0.45">
      <c r="A640" s="1"/>
    </row>
    <row r="641" spans="1:1" x14ac:dyDescent="0.45">
      <c r="A641" s="1"/>
    </row>
    <row r="642" spans="1:1" x14ac:dyDescent="0.45">
      <c r="A642" s="1"/>
    </row>
    <row r="643" spans="1:1" x14ac:dyDescent="0.45">
      <c r="A643" s="1"/>
    </row>
    <row r="644" spans="1:1" x14ac:dyDescent="0.45">
      <c r="A644" s="1"/>
    </row>
    <row r="645" spans="1:1" x14ac:dyDescent="0.45">
      <c r="A645" s="1"/>
    </row>
    <row r="646" spans="1:1" x14ac:dyDescent="0.45">
      <c r="A646" s="1"/>
    </row>
    <row r="647" spans="1:1" x14ac:dyDescent="0.45">
      <c r="A647" s="1"/>
    </row>
    <row r="648" spans="1:1" x14ac:dyDescent="0.45">
      <c r="A648" s="1"/>
    </row>
    <row r="649" spans="1:1" x14ac:dyDescent="0.45">
      <c r="A649" s="1"/>
    </row>
    <row r="650" spans="1:1" x14ac:dyDescent="0.45">
      <c r="A650" s="1"/>
    </row>
    <row r="651" spans="1:1" x14ac:dyDescent="0.45">
      <c r="A651" s="1"/>
    </row>
    <row r="652" spans="1:1" x14ac:dyDescent="0.45">
      <c r="A652" s="1"/>
    </row>
    <row r="653" spans="1:1" x14ac:dyDescent="0.45">
      <c r="A653" s="1"/>
    </row>
    <row r="654" spans="1:1" x14ac:dyDescent="0.45">
      <c r="A654" s="1"/>
    </row>
    <row r="655" spans="1:1" x14ac:dyDescent="0.45">
      <c r="A655" s="1"/>
    </row>
    <row r="656" spans="1:1" x14ac:dyDescent="0.45">
      <c r="A656" s="1"/>
    </row>
    <row r="657" spans="1:1" x14ac:dyDescent="0.45">
      <c r="A657" s="1"/>
    </row>
    <row r="658" spans="1:1" x14ac:dyDescent="0.45">
      <c r="A658" s="1"/>
    </row>
    <row r="659" spans="1:1" x14ac:dyDescent="0.45">
      <c r="A659" s="1"/>
    </row>
    <row r="660" spans="1:1" x14ac:dyDescent="0.45">
      <c r="A660" s="1"/>
    </row>
    <row r="661" spans="1:1" x14ac:dyDescent="0.45">
      <c r="A661" s="1"/>
    </row>
    <row r="662" spans="1:1" x14ac:dyDescent="0.45">
      <c r="A662" s="1"/>
    </row>
    <row r="663" spans="1:1" x14ac:dyDescent="0.45">
      <c r="A663" s="1"/>
    </row>
    <row r="664" spans="1:1" x14ac:dyDescent="0.45">
      <c r="A664" s="1"/>
    </row>
    <row r="665" spans="1:1" x14ac:dyDescent="0.45">
      <c r="A665" s="1"/>
    </row>
    <row r="666" spans="1:1" x14ac:dyDescent="0.45">
      <c r="A666" s="1"/>
    </row>
    <row r="667" spans="1:1" x14ac:dyDescent="0.45">
      <c r="A667" s="1"/>
    </row>
    <row r="668" spans="1:1" x14ac:dyDescent="0.45">
      <c r="A668" s="1"/>
    </row>
    <row r="669" spans="1:1" x14ac:dyDescent="0.45">
      <c r="A669" s="1"/>
    </row>
    <row r="670" spans="1:1" x14ac:dyDescent="0.45">
      <c r="A670" s="1"/>
    </row>
    <row r="671" spans="1:1" x14ac:dyDescent="0.45">
      <c r="A671" s="1"/>
    </row>
    <row r="672" spans="1:1" x14ac:dyDescent="0.45">
      <c r="A672" s="1"/>
    </row>
    <row r="673" spans="1:1" x14ac:dyDescent="0.45">
      <c r="A673" s="1"/>
    </row>
    <row r="674" spans="1:1" x14ac:dyDescent="0.45">
      <c r="A674" s="1"/>
    </row>
    <row r="675" spans="1:1" x14ac:dyDescent="0.45">
      <c r="A675" s="1"/>
    </row>
    <row r="676" spans="1:1" x14ac:dyDescent="0.45">
      <c r="A676" s="1"/>
    </row>
    <row r="677" spans="1:1" x14ac:dyDescent="0.45">
      <c r="A677" s="1"/>
    </row>
    <row r="678" spans="1:1" x14ac:dyDescent="0.45">
      <c r="A678" s="1"/>
    </row>
    <row r="679" spans="1:1" x14ac:dyDescent="0.45">
      <c r="A679" s="1"/>
    </row>
    <row r="680" spans="1:1" x14ac:dyDescent="0.45">
      <c r="A680" s="1"/>
    </row>
    <row r="681" spans="1:1" x14ac:dyDescent="0.45">
      <c r="A681" s="1"/>
    </row>
    <row r="682" spans="1:1" x14ac:dyDescent="0.45">
      <c r="A682" s="1"/>
    </row>
    <row r="683" spans="1:1" x14ac:dyDescent="0.45">
      <c r="A683" s="1"/>
    </row>
    <row r="684" spans="1:1" x14ac:dyDescent="0.45">
      <c r="A684" s="1"/>
    </row>
    <row r="685" spans="1:1" x14ac:dyDescent="0.45">
      <c r="A685" s="1"/>
    </row>
    <row r="686" spans="1:1" x14ac:dyDescent="0.45">
      <c r="A686" s="1"/>
    </row>
    <row r="687" spans="1:1" x14ac:dyDescent="0.45">
      <c r="A687" s="1"/>
    </row>
    <row r="688" spans="1:1" x14ac:dyDescent="0.45">
      <c r="A688" s="1"/>
    </row>
    <row r="689" spans="1:1" x14ac:dyDescent="0.45">
      <c r="A689" s="1"/>
    </row>
    <row r="690" spans="1:1" x14ac:dyDescent="0.45">
      <c r="A690" s="1"/>
    </row>
    <row r="691" spans="1:1" x14ac:dyDescent="0.45">
      <c r="A691" s="1"/>
    </row>
    <row r="692" spans="1:1" x14ac:dyDescent="0.45">
      <c r="A692" s="1"/>
    </row>
    <row r="693" spans="1:1" x14ac:dyDescent="0.45">
      <c r="A693" s="1"/>
    </row>
    <row r="694" spans="1:1" x14ac:dyDescent="0.45">
      <c r="A694" s="1"/>
    </row>
    <row r="695" spans="1:1" x14ac:dyDescent="0.45">
      <c r="A695" s="1"/>
    </row>
    <row r="696" spans="1:1" x14ac:dyDescent="0.45">
      <c r="A696" s="1"/>
    </row>
    <row r="697" spans="1:1" x14ac:dyDescent="0.45">
      <c r="A697" s="1"/>
    </row>
    <row r="698" spans="1:1" x14ac:dyDescent="0.45">
      <c r="A698" s="1"/>
    </row>
    <row r="699" spans="1:1" x14ac:dyDescent="0.45">
      <c r="A699" s="1"/>
    </row>
    <row r="700" spans="1:1" x14ac:dyDescent="0.45">
      <c r="A700" s="1"/>
    </row>
    <row r="701" spans="1:1" x14ac:dyDescent="0.45">
      <c r="A701" s="1"/>
    </row>
    <row r="702" spans="1:1" x14ac:dyDescent="0.45">
      <c r="A702" s="1"/>
    </row>
    <row r="703" spans="1:1" x14ac:dyDescent="0.45">
      <c r="A703" s="1"/>
    </row>
    <row r="704" spans="1:1" x14ac:dyDescent="0.45">
      <c r="A704" s="1"/>
    </row>
    <row r="705" spans="1:1" x14ac:dyDescent="0.45">
      <c r="A705" s="1"/>
    </row>
    <row r="706" spans="1:1" x14ac:dyDescent="0.45">
      <c r="A706" s="1"/>
    </row>
    <row r="707" spans="1:1" x14ac:dyDescent="0.45">
      <c r="A707" s="1"/>
    </row>
    <row r="708" spans="1:1" x14ac:dyDescent="0.45">
      <c r="A708" s="1"/>
    </row>
    <row r="709" spans="1:1" x14ac:dyDescent="0.45">
      <c r="A709" s="1"/>
    </row>
    <row r="710" spans="1:1" x14ac:dyDescent="0.45">
      <c r="A710" s="1"/>
    </row>
    <row r="711" spans="1:1" x14ac:dyDescent="0.45">
      <c r="A711" s="1"/>
    </row>
    <row r="712" spans="1:1" x14ac:dyDescent="0.45">
      <c r="A712" s="1"/>
    </row>
    <row r="713" spans="1:1" x14ac:dyDescent="0.45">
      <c r="A713" s="1"/>
    </row>
    <row r="714" spans="1:1" x14ac:dyDescent="0.45">
      <c r="A714" s="1"/>
    </row>
    <row r="715" spans="1:1" x14ac:dyDescent="0.45">
      <c r="A715" s="1"/>
    </row>
    <row r="716" spans="1:1" x14ac:dyDescent="0.45">
      <c r="A716" s="1"/>
    </row>
    <row r="717" spans="1:1" x14ac:dyDescent="0.45">
      <c r="A717" s="1"/>
    </row>
    <row r="718" spans="1:1" x14ac:dyDescent="0.45">
      <c r="A718" s="1"/>
    </row>
    <row r="719" spans="1:1" x14ac:dyDescent="0.45">
      <c r="A719" s="1"/>
    </row>
    <row r="720" spans="1:1" x14ac:dyDescent="0.45">
      <c r="A720" s="1"/>
    </row>
    <row r="721" spans="1:1" x14ac:dyDescent="0.45">
      <c r="A721" s="1"/>
    </row>
    <row r="722" spans="1:1" x14ac:dyDescent="0.45">
      <c r="A722" s="1"/>
    </row>
    <row r="723" spans="1:1" x14ac:dyDescent="0.45">
      <c r="A723" s="1"/>
    </row>
    <row r="724" spans="1:1" x14ac:dyDescent="0.45">
      <c r="A724" s="1"/>
    </row>
    <row r="725" spans="1:1" x14ac:dyDescent="0.45">
      <c r="A725" s="1"/>
    </row>
    <row r="726" spans="1:1" x14ac:dyDescent="0.45">
      <c r="A726" s="1"/>
    </row>
    <row r="727" spans="1:1" x14ac:dyDescent="0.45">
      <c r="A727" s="1"/>
    </row>
    <row r="728" spans="1:1" x14ac:dyDescent="0.45">
      <c r="A728" s="1"/>
    </row>
    <row r="729" spans="1:1" x14ac:dyDescent="0.45">
      <c r="A729" s="1"/>
    </row>
    <row r="730" spans="1:1" x14ac:dyDescent="0.45">
      <c r="A730" s="1"/>
    </row>
    <row r="731" spans="1:1" x14ac:dyDescent="0.45">
      <c r="A731" s="1"/>
    </row>
    <row r="732" spans="1:1" x14ac:dyDescent="0.45">
      <c r="A732" s="1"/>
    </row>
    <row r="733" spans="1:1" x14ac:dyDescent="0.45">
      <c r="A733" s="1"/>
    </row>
    <row r="734" spans="1:1" x14ac:dyDescent="0.45">
      <c r="A734" s="1"/>
    </row>
    <row r="735" spans="1:1" x14ac:dyDescent="0.45">
      <c r="A735" s="1"/>
    </row>
    <row r="736" spans="1:1" x14ac:dyDescent="0.45">
      <c r="A736" s="1"/>
    </row>
    <row r="737" spans="1:1" x14ac:dyDescent="0.45">
      <c r="A737" s="1"/>
    </row>
    <row r="738" spans="1:1" x14ac:dyDescent="0.45">
      <c r="A738" s="1"/>
    </row>
    <row r="739" spans="1:1" x14ac:dyDescent="0.45">
      <c r="A739" s="1"/>
    </row>
    <row r="740" spans="1:1" x14ac:dyDescent="0.45">
      <c r="A740" s="1"/>
    </row>
    <row r="741" spans="1:1" x14ac:dyDescent="0.45">
      <c r="A741" s="1"/>
    </row>
    <row r="742" spans="1:1" x14ac:dyDescent="0.45">
      <c r="A742" s="1"/>
    </row>
    <row r="743" spans="1:1" x14ac:dyDescent="0.45">
      <c r="A743" s="1"/>
    </row>
    <row r="744" spans="1:1" x14ac:dyDescent="0.45">
      <c r="A744" s="1"/>
    </row>
    <row r="745" spans="1:1" x14ac:dyDescent="0.45">
      <c r="A745" s="1"/>
    </row>
    <row r="746" spans="1:1" x14ac:dyDescent="0.45">
      <c r="A746" s="1"/>
    </row>
    <row r="747" spans="1:1" x14ac:dyDescent="0.45">
      <c r="A747" s="1"/>
    </row>
    <row r="748" spans="1:1" x14ac:dyDescent="0.45">
      <c r="A748" s="1"/>
    </row>
    <row r="749" spans="1:1" x14ac:dyDescent="0.45">
      <c r="A749" s="1"/>
    </row>
    <row r="750" spans="1:1" x14ac:dyDescent="0.45">
      <c r="A750" s="1"/>
    </row>
    <row r="751" spans="1:1" x14ac:dyDescent="0.45">
      <c r="A751" s="1"/>
    </row>
    <row r="752" spans="1:1" x14ac:dyDescent="0.45">
      <c r="A752" s="1"/>
    </row>
    <row r="753" spans="1:1" x14ac:dyDescent="0.45">
      <c r="A753" s="1"/>
    </row>
    <row r="754" spans="1:1" x14ac:dyDescent="0.45">
      <c r="A754" s="1"/>
    </row>
    <row r="755" spans="1:1" x14ac:dyDescent="0.45">
      <c r="A755" s="1"/>
    </row>
    <row r="756" spans="1:1" x14ac:dyDescent="0.45">
      <c r="A756" s="1"/>
    </row>
    <row r="757" spans="1:1" x14ac:dyDescent="0.45">
      <c r="A757" s="1"/>
    </row>
    <row r="758" spans="1:1" x14ac:dyDescent="0.45">
      <c r="A758" s="1"/>
    </row>
    <row r="759" spans="1:1" x14ac:dyDescent="0.45">
      <c r="A759" s="1"/>
    </row>
    <row r="760" spans="1:1" x14ac:dyDescent="0.45">
      <c r="A760" s="1"/>
    </row>
    <row r="761" spans="1:1" x14ac:dyDescent="0.45">
      <c r="A761" s="1"/>
    </row>
    <row r="762" spans="1:1" x14ac:dyDescent="0.45">
      <c r="A762" s="1"/>
    </row>
    <row r="763" spans="1:1" x14ac:dyDescent="0.45">
      <c r="A763" s="1"/>
    </row>
    <row r="764" spans="1:1" x14ac:dyDescent="0.45">
      <c r="A764" s="1"/>
    </row>
    <row r="765" spans="1:1" x14ac:dyDescent="0.45">
      <c r="A765" s="1"/>
    </row>
    <row r="766" spans="1:1" x14ac:dyDescent="0.45">
      <c r="A766" s="1"/>
    </row>
    <row r="767" spans="1:1" x14ac:dyDescent="0.45">
      <c r="A767" s="1"/>
    </row>
    <row r="768" spans="1:1" x14ac:dyDescent="0.45">
      <c r="A768" s="1"/>
    </row>
    <row r="769" spans="1:1" x14ac:dyDescent="0.45">
      <c r="A769" s="1"/>
    </row>
    <row r="770" spans="1:1" x14ac:dyDescent="0.45">
      <c r="A770" s="1"/>
    </row>
    <row r="771" spans="1:1" x14ac:dyDescent="0.45">
      <c r="A771" s="1"/>
    </row>
    <row r="772" spans="1:1" x14ac:dyDescent="0.45">
      <c r="A772" s="1"/>
    </row>
    <row r="773" spans="1:1" x14ac:dyDescent="0.45">
      <c r="A773" s="1"/>
    </row>
    <row r="774" spans="1:1" x14ac:dyDescent="0.45">
      <c r="A774" s="1"/>
    </row>
    <row r="775" spans="1:1" x14ac:dyDescent="0.45">
      <c r="A775" s="1"/>
    </row>
    <row r="776" spans="1:1" x14ac:dyDescent="0.45">
      <c r="A776" s="1"/>
    </row>
    <row r="777" spans="1:1" x14ac:dyDescent="0.45">
      <c r="A777" s="1"/>
    </row>
    <row r="778" spans="1:1" x14ac:dyDescent="0.45">
      <c r="A778" s="1"/>
    </row>
    <row r="779" spans="1:1" x14ac:dyDescent="0.45">
      <c r="A779" s="1"/>
    </row>
    <row r="780" spans="1:1" x14ac:dyDescent="0.45">
      <c r="A780" s="1"/>
    </row>
    <row r="781" spans="1:1" x14ac:dyDescent="0.45">
      <c r="A781" s="1"/>
    </row>
    <row r="782" spans="1:1" x14ac:dyDescent="0.45">
      <c r="A782" s="1"/>
    </row>
    <row r="783" spans="1:1" x14ac:dyDescent="0.45">
      <c r="A783" s="1"/>
    </row>
    <row r="784" spans="1:1" x14ac:dyDescent="0.45">
      <c r="A784" s="1"/>
    </row>
    <row r="785" spans="1:1" x14ac:dyDescent="0.45">
      <c r="A785" s="1"/>
    </row>
    <row r="786" spans="1:1" x14ac:dyDescent="0.45">
      <c r="A786" s="1"/>
    </row>
    <row r="787" spans="1:1" x14ac:dyDescent="0.45">
      <c r="A787" s="1"/>
    </row>
    <row r="788" spans="1:1" x14ac:dyDescent="0.45">
      <c r="A788" s="1"/>
    </row>
    <row r="789" spans="1:1" x14ac:dyDescent="0.45">
      <c r="A789" s="1"/>
    </row>
    <row r="790" spans="1:1" x14ac:dyDescent="0.45">
      <c r="A790" s="1"/>
    </row>
    <row r="791" spans="1:1" x14ac:dyDescent="0.45">
      <c r="A791" s="1"/>
    </row>
    <row r="792" spans="1:1" x14ac:dyDescent="0.45">
      <c r="A792" s="1"/>
    </row>
    <row r="793" spans="1:1" x14ac:dyDescent="0.45">
      <c r="A793" s="1"/>
    </row>
    <row r="794" spans="1:1" x14ac:dyDescent="0.45">
      <c r="A794" s="1"/>
    </row>
    <row r="795" spans="1:1" x14ac:dyDescent="0.45">
      <c r="A795" s="1"/>
    </row>
    <row r="796" spans="1:1" x14ac:dyDescent="0.45">
      <c r="A796" s="1"/>
    </row>
    <row r="797" spans="1:1" x14ac:dyDescent="0.45">
      <c r="A797" s="1"/>
    </row>
    <row r="798" spans="1:1" x14ac:dyDescent="0.45">
      <c r="A798" s="1"/>
    </row>
    <row r="799" spans="1:1" x14ac:dyDescent="0.45">
      <c r="A799" s="1"/>
    </row>
    <row r="800" spans="1:1" x14ac:dyDescent="0.45">
      <c r="A800" s="1"/>
    </row>
    <row r="801" spans="1:1" x14ac:dyDescent="0.45">
      <c r="A801" s="1"/>
    </row>
    <row r="802" spans="1:1" x14ac:dyDescent="0.45">
      <c r="A802" s="1"/>
    </row>
    <row r="803" spans="1:1" x14ac:dyDescent="0.45">
      <c r="A803" s="1"/>
    </row>
    <row r="804" spans="1:1" x14ac:dyDescent="0.45">
      <c r="A804" s="1"/>
    </row>
    <row r="805" spans="1:1" x14ac:dyDescent="0.45">
      <c r="A805" s="1"/>
    </row>
    <row r="806" spans="1:1" x14ac:dyDescent="0.45">
      <c r="A806" s="1"/>
    </row>
    <row r="807" spans="1:1" x14ac:dyDescent="0.45">
      <c r="A807" s="1"/>
    </row>
    <row r="808" spans="1:1" x14ac:dyDescent="0.45">
      <c r="A808" s="1"/>
    </row>
    <row r="809" spans="1:1" x14ac:dyDescent="0.45">
      <c r="A809" s="1"/>
    </row>
    <row r="810" spans="1:1" x14ac:dyDescent="0.45">
      <c r="A810" s="1"/>
    </row>
    <row r="811" spans="1:1" x14ac:dyDescent="0.45">
      <c r="A811" s="1"/>
    </row>
    <row r="812" spans="1:1" x14ac:dyDescent="0.45">
      <c r="A812" s="1"/>
    </row>
    <row r="813" spans="1:1" x14ac:dyDescent="0.45">
      <c r="A813" s="1"/>
    </row>
    <row r="814" spans="1:1" x14ac:dyDescent="0.45">
      <c r="A814" s="1"/>
    </row>
    <row r="815" spans="1:1" x14ac:dyDescent="0.45">
      <c r="A815" s="1"/>
    </row>
    <row r="816" spans="1:1" x14ac:dyDescent="0.45">
      <c r="A816" s="1"/>
    </row>
    <row r="817" spans="1:1" x14ac:dyDescent="0.45">
      <c r="A817" s="1"/>
    </row>
    <row r="818" spans="1:1" x14ac:dyDescent="0.45">
      <c r="A818" s="1"/>
    </row>
    <row r="819" spans="1:1" x14ac:dyDescent="0.45">
      <c r="A819" s="1"/>
    </row>
    <row r="820" spans="1:1" x14ac:dyDescent="0.45">
      <c r="A820" s="1"/>
    </row>
    <row r="821" spans="1:1" x14ac:dyDescent="0.45">
      <c r="A821" s="1"/>
    </row>
    <row r="822" spans="1:1" x14ac:dyDescent="0.45">
      <c r="A822" s="1"/>
    </row>
    <row r="823" spans="1:1" x14ac:dyDescent="0.45">
      <c r="A823" s="1"/>
    </row>
    <row r="824" spans="1:1" x14ac:dyDescent="0.45">
      <c r="A824" s="1"/>
    </row>
    <row r="825" spans="1:1" x14ac:dyDescent="0.45">
      <c r="A825" s="1"/>
    </row>
    <row r="826" spans="1:1" x14ac:dyDescent="0.45">
      <c r="A826" s="1"/>
    </row>
    <row r="827" spans="1:1" x14ac:dyDescent="0.45">
      <c r="A827" s="1"/>
    </row>
    <row r="828" spans="1:1" x14ac:dyDescent="0.45">
      <c r="A828" s="1"/>
    </row>
    <row r="829" spans="1:1" x14ac:dyDescent="0.45">
      <c r="A829" s="1"/>
    </row>
    <row r="830" spans="1:1" x14ac:dyDescent="0.45">
      <c r="A830" s="1"/>
    </row>
    <row r="831" spans="1:1" x14ac:dyDescent="0.45">
      <c r="A831" s="1"/>
    </row>
    <row r="832" spans="1:1" x14ac:dyDescent="0.45">
      <c r="A832" s="1"/>
    </row>
    <row r="833" spans="1:1" x14ac:dyDescent="0.45">
      <c r="A833" s="1"/>
    </row>
    <row r="834" spans="1:1" x14ac:dyDescent="0.45">
      <c r="A834" s="1"/>
    </row>
    <row r="835" spans="1:1" x14ac:dyDescent="0.45">
      <c r="A835" s="1"/>
    </row>
    <row r="836" spans="1:1" x14ac:dyDescent="0.45">
      <c r="A836" s="1"/>
    </row>
    <row r="837" spans="1:1" x14ac:dyDescent="0.45">
      <c r="A837" s="1"/>
    </row>
    <row r="838" spans="1:1" x14ac:dyDescent="0.45">
      <c r="A838" s="1"/>
    </row>
  </sheetData>
  <autoFilter ref="A1:AJ40" xr:uid="{B4580373-5D26-482E-B7B7-12BA5A59A0A0}"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C38C8-9CBD-4C8F-B36B-5E86865B6CE1}">
  <sheetPr codeName="Sheet2"/>
  <dimension ref="A1:J211"/>
  <sheetViews>
    <sheetView topLeftCell="A16" zoomScale="115" zoomScaleNormal="115" workbookViewId="0">
      <selection activeCell="C50" sqref="C50"/>
    </sheetView>
  </sheetViews>
  <sheetFormatPr defaultRowHeight="17" x14ac:dyDescent="0.45"/>
  <cols>
    <col min="1" max="1" width="4.58203125" style="1" customWidth="1"/>
    <col min="2" max="3" width="6.58203125" style="1" customWidth="1"/>
    <col min="4" max="4" width="8.6640625" style="1"/>
    <col min="5" max="6" width="14.58203125" style="1" customWidth="1"/>
    <col min="7" max="8" width="12.58203125" style="1" customWidth="1"/>
    <col min="9" max="9" width="10.58203125" style="2" bestFit="1" customWidth="1"/>
    <col min="10" max="10" width="26.58203125" style="1" customWidth="1"/>
  </cols>
  <sheetData>
    <row r="1" spans="1:10" x14ac:dyDescent="0.45">
      <c r="A1" s="66" t="s">
        <v>128</v>
      </c>
      <c r="B1" s="67" t="s">
        <v>157</v>
      </c>
      <c r="C1" s="68" t="s">
        <v>208</v>
      </c>
      <c r="D1" s="69" t="s">
        <v>156</v>
      </c>
      <c r="E1" s="70" t="s">
        <v>8</v>
      </c>
      <c r="F1" s="71" t="s">
        <v>2</v>
      </c>
      <c r="G1" s="72" t="s">
        <v>6</v>
      </c>
      <c r="H1" s="73" t="s">
        <v>7</v>
      </c>
      <c r="I1" s="74" t="s">
        <v>5</v>
      </c>
      <c r="J1" s="67" t="s">
        <v>421</v>
      </c>
    </row>
    <row r="2" spans="1:10" x14ac:dyDescent="0.45">
      <c r="A2" s="1">
        <v>1</v>
      </c>
      <c r="B2" s="1" t="s">
        <v>158</v>
      </c>
      <c r="C2" s="1" t="s">
        <v>159</v>
      </c>
      <c r="D2" s="1" t="s">
        <v>160</v>
      </c>
      <c r="E2" s="1" t="s">
        <v>161</v>
      </c>
      <c r="F2" s="1" t="s">
        <v>162</v>
      </c>
      <c r="G2" s="1" t="s">
        <v>163</v>
      </c>
      <c r="H2" s="1" t="s">
        <v>216</v>
      </c>
      <c r="I2" s="2">
        <v>250000</v>
      </c>
    </row>
    <row r="3" spans="1:10" x14ac:dyDescent="0.45">
      <c r="A3" s="1">
        <v>2</v>
      </c>
      <c r="B3" s="1" t="s">
        <v>158</v>
      </c>
      <c r="C3" s="1" t="s">
        <v>159</v>
      </c>
      <c r="D3" s="1" t="s">
        <v>164</v>
      </c>
      <c r="E3" s="1" t="s">
        <v>165</v>
      </c>
      <c r="F3" s="1" t="s">
        <v>166</v>
      </c>
      <c r="G3" s="1" t="s">
        <v>163</v>
      </c>
      <c r="H3" s="1" t="s">
        <v>216</v>
      </c>
      <c r="I3" s="2">
        <v>250000</v>
      </c>
    </row>
    <row r="4" spans="1:10" x14ac:dyDescent="0.45">
      <c r="A4" s="1">
        <v>3</v>
      </c>
      <c r="B4" s="1" t="s">
        <v>158</v>
      </c>
      <c r="C4" s="1" t="s">
        <v>196</v>
      </c>
      <c r="D4" s="1" t="s">
        <v>164</v>
      </c>
      <c r="E4" s="1" t="s">
        <v>165</v>
      </c>
      <c r="F4" s="1" t="s">
        <v>166</v>
      </c>
      <c r="G4" s="1" t="s">
        <v>163</v>
      </c>
      <c r="H4" s="1" t="s">
        <v>216</v>
      </c>
      <c r="I4" s="2">
        <v>250000</v>
      </c>
    </row>
    <row r="5" spans="1:10" x14ac:dyDescent="0.45">
      <c r="A5" s="1">
        <v>4</v>
      </c>
      <c r="B5" s="1" t="s">
        <v>158</v>
      </c>
      <c r="C5" s="1" t="s">
        <v>167</v>
      </c>
      <c r="D5" s="1" t="s">
        <v>168</v>
      </c>
      <c r="E5" s="1" t="s">
        <v>169</v>
      </c>
      <c r="F5" s="1" t="s">
        <v>170</v>
      </c>
      <c r="G5" s="1" t="s">
        <v>163</v>
      </c>
      <c r="H5" s="1" t="s">
        <v>216</v>
      </c>
      <c r="I5" s="2">
        <v>250000</v>
      </c>
    </row>
    <row r="6" spans="1:10" x14ac:dyDescent="0.45">
      <c r="A6" s="1">
        <v>5</v>
      </c>
      <c r="B6" s="1" t="s">
        <v>158</v>
      </c>
      <c r="C6" s="1" t="s">
        <v>167</v>
      </c>
      <c r="D6" s="1" t="s">
        <v>171</v>
      </c>
      <c r="E6" s="1" t="s">
        <v>172</v>
      </c>
      <c r="F6" s="1" t="s">
        <v>173</v>
      </c>
      <c r="G6" s="1" t="s">
        <v>163</v>
      </c>
      <c r="H6" s="1" t="s">
        <v>216</v>
      </c>
      <c r="I6" s="2">
        <v>250000</v>
      </c>
    </row>
    <row r="7" spans="1:10" x14ac:dyDescent="0.45">
      <c r="A7" s="1">
        <v>6</v>
      </c>
      <c r="B7" s="1" t="s">
        <v>158</v>
      </c>
      <c r="C7" s="1" t="s">
        <v>167</v>
      </c>
      <c r="D7" s="1" t="s">
        <v>79</v>
      </c>
      <c r="E7" s="1" t="s">
        <v>174</v>
      </c>
      <c r="F7" s="1" t="s">
        <v>175</v>
      </c>
      <c r="G7" s="1" t="s">
        <v>163</v>
      </c>
      <c r="H7" s="1" t="s">
        <v>216</v>
      </c>
      <c r="I7" s="2">
        <v>250000</v>
      </c>
    </row>
    <row r="8" spans="1:10" x14ac:dyDescent="0.45">
      <c r="A8" s="1">
        <v>7</v>
      </c>
      <c r="B8" s="1" t="s">
        <v>158</v>
      </c>
      <c r="C8" s="1" t="s">
        <v>181</v>
      </c>
      <c r="D8" s="1" t="s">
        <v>79</v>
      </c>
      <c r="E8" s="1" t="s">
        <v>174</v>
      </c>
      <c r="F8" s="1" t="s">
        <v>175</v>
      </c>
      <c r="G8" s="1" t="s">
        <v>163</v>
      </c>
      <c r="H8" s="1" t="s">
        <v>216</v>
      </c>
      <c r="I8" s="2">
        <v>250000</v>
      </c>
    </row>
    <row r="9" spans="1:10" x14ac:dyDescent="0.45">
      <c r="A9" s="1">
        <v>8</v>
      </c>
      <c r="B9" s="1" t="s">
        <v>158</v>
      </c>
      <c r="C9" s="1" t="s">
        <v>167</v>
      </c>
      <c r="D9" s="1" t="s">
        <v>118</v>
      </c>
      <c r="E9" s="1" t="s">
        <v>176</v>
      </c>
      <c r="F9" s="1" t="s">
        <v>177</v>
      </c>
      <c r="G9" s="1" t="s">
        <v>163</v>
      </c>
      <c r="H9" s="1" t="s">
        <v>216</v>
      </c>
      <c r="I9" s="2">
        <v>250000</v>
      </c>
    </row>
    <row r="10" spans="1:10" x14ac:dyDescent="0.45">
      <c r="A10" s="1">
        <v>9</v>
      </c>
      <c r="B10" s="1" t="s">
        <v>158</v>
      </c>
      <c r="C10" s="1" t="s">
        <v>167</v>
      </c>
      <c r="D10" s="1" t="s">
        <v>178</v>
      </c>
      <c r="E10" s="1" t="s">
        <v>179</v>
      </c>
      <c r="F10" s="1" t="s">
        <v>180</v>
      </c>
      <c r="G10" s="1" t="s">
        <v>163</v>
      </c>
      <c r="H10" s="1" t="s">
        <v>216</v>
      </c>
      <c r="I10" s="2">
        <v>250000</v>
      </c>
    </row>
    <row r="11" spans="1:10" x14ac:dyDescent="0.45">
      <c r="A11" s="1">
        <v>10</v>
      </c>
      <c r="B11" s="1" t="s">
        <v>158</v>
      </c>
      <c r="C11" s="1" t="s">
        <v>181</v>
      </c>
      <c r="D11" s="1" t="s">
        <v>178</v>
      </c>
      <c r="E11" s="1" t="s">
        <v>179</v>
      </c>
      <c r="F11" s="1" t="s">
        <v>180</v>
      </c>
      <c r="G11" s="1" t="s">
        <v>163</v>
      </c>
      <c r="H11" s="1" t="s">
        <v>216</v>
      </c>
      <c r="I11" s="2">
        <v>250000</v>
      </c>
    </row>
    <row r="12" spans="1:10" x14ac:dyDescent="0.45">
      <c r="A12" s="1">
        <v>11</v>
      </c>
      <c r="B12" s="1" t="s">
        <v>158</v>
      </c>
      <c r="C12" s="1" t="s">
        <v>167</v>
      </c>
      <c r="D12" s="1" t="s">
        <v>182</v>
      </c>
      <c r="E12" s="1" t="s">
        <v>183</v>
      </c>
      <c r="F12" s="1" t="s">
        <v>184</v>
      </c>
      <c r="G12" s="1" t="s">
        <v>163</v>
      </c>
      <c r="H12" s="1" t="s">
        <v>216</v>
      </c>
      <c r="I12" s="2">
        <v>250000</v>
      </c>
    </row>
    <row r="13" spans="1:10" x14ac:dyDescent="0.45">
      <c r="A13" s="1">
        <v>12</v>
      </c>
      <c r="B13" s="1" t="s">
        <v>158</v>
      </c>
      <c r="C13" s="1" t="s">
        <v>186</v>
      </c>
      <c r="D13" s="1" t="s">
        <v>182</v>
      </c>
      <c r="E13" s="1" t="s">
        <v>183</v>
      </c>
      <c r="F13" s="1" t="s">
        <v>184</v>
      </c>
      <c r="G13" s="1" t="s">
        <v>163</v>
      </c>
      <c r="H13" s="1" t="s">
        <v>216</v>
      </c>
      <c r="I13" s="2">
        <v>250000</v>
      </c>
    </row>
    <row r="14" spans="1:10" x14ac:dyDescent="0.45">
      <c r="A14" s="1">
        <v>13</v>
      </c>
      <c r="B14" s="1" t="s">
        <v>158</v>
      </c>
      <c r="C14" s="1" t="s">
        <v>187</v>
      </c>
      <c r="D14" s="1" t="s">
        <v>182</v>
      </c>
      <c r="E14" s="1" t="s">
        <v>183</v>
      </c>
      <c r="F14" s="1" t="s">
        <v>184</v>
      </c>
      <c r="G14" s="1" t="s">
        <v>163</v>
      </c>
      <c r="H14" s="1" t="s">
        <v>188</v>
      </c>
      <c r="I14" s="2">
        <v>250000</v>
      </c>
    </row>
    <row r="15" spans="1:10" x14ac:dyDescent="0.45">
      <c r="A15" s="1">
        <v>14</v>
      </c>
      <c r="B15" s="1" t="s">
        <v>158</v>
      </c>
      <c r="C15" s="1" t="s">
        <v>159</v>
      </c>
      <c r="D15" s="1" t="s">
        <v>189</v>
      </c>
      <c r="E15" s="1" t="s">
        <v>190</v>
      </c>
      <c r="F15" s="1" t="s">
        <v>191</v>
      </c>
      <c r="G15" s="1" t="s">
        <v>163</v>
      </c>
      <c r="H15" s="1" t="s">
        <v>216</v>
      </c>
      <c r="I15" s="2">
        <v>250000</v>
      </c>
    </row>
    <row r="16" spans="1:10" x14ac:dyDescent="0.45">
      <c r="A16" s="1">
        <v>15</v>
      </c>
      <c r="B16" s="1" t="s">
        <v>158</v>
      </c>
      <c r="C16" s="1" t="s">
        <v>186</v>
      </c>
      <c r="D16" s="1" t="s">
        <v>189</v>
      </c>
      <c r="E16" s="1" t="s">
        <v>190</v>
      </c>
      <c r="F16" s="1" t="s">
        <v>191</v>
      </c>
      <c r="G16" s="1" t="s">
        <v>163</v>
      </c>
      <c r="H16" s="1" t="s">
        <v>216</v>
      </c>
      <c r="I16" s="2">
        <v>250000</v>
      </c>
    </row>
    <row r="17" spans="1:10" x14ac:dyDescent="0.45">
      <c r="A17" s="1">
        <v>16</v>
      </c>
      <c r="B17" s="1" t="s">
        <v>158</v>
      </c>
      <c r="C17" s="1" t="s">
        <v>187</v>
      </c>
      <c r="D17" s="1" t="s">
        <v>189</v>
      </c>
      <c r="E17" s="1" t="s">
        <v>190</v>
      </c>
      <c r="F17" s="1" t="s">
        <v>191</v>
      </c>
      <c r="G17" s="1" t="s">
        <v>163</v>
      </c>
      <c r="H17" s="1" t="s">
        <v>188</v>
      </c>
      <c r="I17" s="2">
        <v>250000</v>
      </c>
    </row>
    <row r="18" spans="1:10" x14ac:dyDescent="0.45">
      <c r="A18" s="1">
        <v>17</v>
      </c>
      <c r="B18" s="1" t="s">
        <v>158</v>
      </c>
      <c r="C18" s="1" t="s">
        <v>185</v>
      </c>
      <c r="D18" s="1" t="s">
        <v>114</v>
      </c>
      <c r="E18" s="1" t="s">
        <v>116</v>
      </c>
      <c r="F18" s="1" t="s">
        <v>202</v>
      </c>
      <c r="G18" s="1" t="s">
        <v>163</v>
      </c>
      <c r="H18" s="1" t="s">
        <v>216</v>
      </c>
      <c r="I18" s="2">
        <v>250000</v>
      </c>
    </row>
    <row r="19" spans="1:10" x14ac:dyDescent="0.45">
      <c r="A19" s="1">
        <v>18</v>
      </c>
      <c r="B19" s="1" t="s">
        <v>158</v>
      </c>
      <c r="C19" s="1" t="s">
        <v>167</v>
      </c>
      <c r="D19" s="1" t="s">
        <v>129</v>
      </c>
      <c r="E19" s="1" t="s">
        <v>131</v>
      </c>
      <c r="F19" s="1" t="s">
        <v>192</v>
      </c>
      <c r="G19" s="1" t="s">
        <v>163</v>
      </c>
      <c r="H19" s="1" t="s">
        <v>216</v>
      </c>
      <c r="I19" s="2">
        <v>250000</v>
      </c>
    </row>
    <row r="20" spans="1:10" x14ac:dyDescent="0.45">
      <c r="A20" s="1">
        <v>19</v>
      </c>
      <c r="B20" s="1" t="s">
        <v>158</v>
      </c>
      <c r="C20" s="1" t="s">
        <v>167</v>
      </c>
      <c r="D20" s="1" t="s">
        <v>129</v>
      </c>
      <c r="E20" s="1" t="s">
        <v>131</v>
      </c>
      <c r="F20" s="1" t="s">
        <v>192</v>
      </c>
      <c r="G20" s="1" t="s">
        <v>163</v>
      </c>
      <c r="H20" s="1" t="s">
        <v>216</v>
      </c>
      <c r="I20" s="2">
        <v>250000</v>
      </c>
    </row>
    <row r="21" spans="1:10" x14ac:dyDescent="0.45">
      <c r="A21" s="1">
        <v>20</v>
      </c>
      <c r="B21" s="1" t="s">
        <v>158</v>
      </c>
      <c r="C21" s="1" t="s">
        <v>187</v>
      </c>
      <c r="D21" s="1" t="s">
        <v>129</v>
      </c>
      <c r="E21" s="1" t="s">
        <v>131</v>
      </c>
      <c r="F21" s="1" t="s">
        <v>192</v>
      </c>
      <c r="G21" s="1" t="s">
        <v>163</v>
      </c>
      <c r="H21" s="1" t="s">
        <v>188</v>
      </c>
      <c r="I21" s="2">
        <v>250000</v>
      </c>
    </row>
    <row r="22" spans="1:10" x14ac:dyDescent="0.45">
      <c r="A22" s="1">
        <v>21</v>
      </c>
      <c r="B22" s="1" t="s">
        <v>158</v>
      </c>
      <c r="C22" s="1" t="s">
        <v>187</v>
      </c>
      <c r="D22" s="1" t="s">
        <v>12</v>
      </c>
      <c r="E22" s="1" t="s">
        <v>13</v>
      </c>
      <c r="F22" s="1" t="s">
        <v>200</v>
      </c>
      <c r="G22" s="1" t="s">
        <v>163</v>
      </c>
      <c r="H22" s="1" t="s">
        <v>188</v>
      </c>
      <c r="I22" s="2">
        <v>250000</v>
      </c>
    </row>
    <row r="23" spans="1:10" x14ac:dyDescent="0.45">
      <c r="A23" s="1">
        <v>22</v>
      </c>
      <c r="B23" s="1" t="s">
        <v>158</v>
      </c>
      <c r="C23" s="1" t="s">
        <v>187</v>
      </c>
      <c r="D23" s="1" t="s">
        <v>0</v>
      </c>
      <c r="E23" s="1" t="s">
        <v>10</v>
      </c>
      <c r="F23" s="1" t="s">
        <v>201</v>
      </c>
      <c r="G23" s="1" t="s">
        <v>163</v>
      </c>
      <c r="H23" s="1" t="s">
        <v>188</v>
      </c>
      <c r="I23" s="2">
        <v>250000</v>
      </c>
    </row>
    <row r="24" spans="1:10" x14ac:dyDescent="0.45">
      <c r="A24" s="1">
        <v>23</v>
      </c>
      <c r="B24" s="1" t="s">
        <v>158</v>
      </c>
      <c r="C24" s="1" t="s">
        <v>187</v>
      </c>
      <c r="D24" s="1" t="s">
        <v>114</v>
      </c>
      <c r="E24" s="1" t="s">
        <v>116</v>
      </c>
      <c r="F24" s="1" t="s">
        <v>202</v>
      </c>
      <c r="G24" s="1" t="s">
        <v>163</v>
      </c>
      <c r="H24" s="1" t="s">
        <v>188</v>
      </c>
      <c r="I24" s="2">
        <v>250000</v>
      </c>
    </row>
    <row r="25" spans="1:10" x14ac:dyDescent="0.45">
      <c r="A25" s="1">
        <v>24</v>
      </c>
      <c r="B25" s="1" t="s">
        <v>158</v>
      </c>
      <c r="C25" s="1" t="s">
        <v>187</v>
      </c>
      <c r="D25" s="1" t="s">
        <v>203</v>
      </c>
      <c r="E25" s="1" t="s">
        <v>236</v>
      </c>
      <c r="F25" s="1" t="s">
        <v>206</v>
      </c>
      <c r="G25" s="1" t="s">
        <v>163</v>
      </c>
      <c r="H25" s="1" t="s">
        <v>188</v>
      </c>
      <c r="I25" s="2">
        <v>250000</v>
      </c>
    </row>
    <row r="26" spans="1:10" x14ac:dyDescent="0.45">
      <c r="A26" s="1">
        <v>25</v>
      </c>
      <c r="B26" s="1" t="s">
        <v>158</v>
      </c>
      <c r="C26" s="1" t="s">
        <v>187</v>
      </c>
      <c r="D26" s="1" t="s">
        <v>204</v>
      </c>
      <c r="E26" s="1" t="s">
        <v>205</v>
      </c>
      <c r="F26" s="1" t="s">
        <v>209</v>
      </c>
      <c r="G26" s="1" t="s">
        <v>163</v>
      </c>
      <c r="H26" s="1" t="s">
        <v>188</v>
      </c>
      <c r="I26" s="2">
        <v>250000</v>
      </c>
    </row>
    <row r="27" spans="1:10" x14ac:dyDescent="0.45">
      <c r="A27" s="1">
        <v>26</v>
      </c>
      <c r="B27" s="1" t="s">
        <v>158</v>
      </c>
      <c r="C27" s="1" t="s">
        <v>187</v>
      </c>
      <c r="D27" s="1" t="s">
        <v>160</v>
      </c>
      <c r="E27" s="1" t="s">
        <v>161</v>
      </c>
      <c r="F27" s="1" t="s">
        <v>162</v>
      </c>
      <c r="G27" s="1" t="s">
        <v>163</v>
      </c>
      <c r="H27" s="1" t="s">
        <v>210</v>
      </c>
      <c r="I27" s="2">
        <v>150000</v>
      </c>
    </row>
    <row r="28" spans="1:10" x14ac:dyDescent="0.45">
      <c r="A28" s="1">
        <v>27</v>
      </c>
      <c r="B28" s="1" t="s">
        <v>158</v>
      </c>
      <c r="C28" s="1" t="s">
        <v>187</v>
      </c>
      <c r="D28" s="1" t="s">
        <v>171</v>
      </c>
      <c r="E28" s="1" t="s">
        <v>172</v>
      </c>
      <c r="F28" s="1" t="s">
        <v>173</v>
      </c>
      <c r="G28" s="1" t="s">
        <v>163</v>
      </c>
      <c r="H28" s="1" t="s">
        <v>210</v>
      </c>
      <c r="I28" s="2">
        <v>150000</v>
      </c>
    </row>
    <row r="29" spans="1:10" x14ac:dyDescent="0.45">
      <c r="A29" s="1">
        <v>28</v>
      </c>
      <c r="B29" s="1" t="s">
        <v>158</v>
      </c>
      <c r="C29" s="1" t="s">
        <v>187</v>
      </c>
      <c r="D29" s="1" t="s">
        <v>193</v>
      </c>
      <c r="E29" s="1" t="s">
        <v>194</v>
      </c>
      <c r="F29" s="1" t="s">
        <v>195</v>
      </c>
      <c r="G29" s="1" t="s">
        <v>163</v>
      </c>
      <c r="H29" s="1" t="s">
        <v>211</v>
      </c>
      <c r="I29" s="2">
        <v>280000</v>
      </c>
    </row>
    <row r="30" spans="1:10" x14ac:dyDescent="0.45">
      <c r="A30" s="1">
        <v>29</v>
      </c>
      <c r="B30" s="1" t="s">
        <v>158</v>
      </c>
      <c r="C30" s="1" t="s">
        <v>186</v>
      </c>
      <c r="D30" s="1" t="s">
        <v>197</v>
      </c>
      <c r="E30" s="1" t="s">
        <v>198</v>
      </c>
      <c r="F30" s="1" t="s">
        <v>199</v>
      </c>
      <c r="G30" s="1" t="s">
        <v>151</v>
      </c>
      <c r="H30" s="1" t="s">
        <v>15</v>
      </c>
      <c r="I30" s="2">
        <v>200000</v>
      </c>
      <c r="J30" s="1" t="s">
        <v>430</v>
      </c>
    </row>
    <row r="31" spans="1:10" x14ac:dyDescent="0.45">
      <c r="A31" s="1">
        <v>30</v>
      </c>
      <c r="B31" s="1" t="s">
        <v>212</v>
      </c>
      <c r="C31" s="1" t="s">
        <v>167</v>
      </c>
      <c r="D31" s="1" t="s">
        <v>213</v>
      </c>
      <c r="E31" s="1" t="s">
        <v>214</v>
      </c>
      <c r="F31" s="1" t="s">
        <v>215</v>
      </c>
      <c r="G31" s="1" t="s">
        <v>163</v>
      </c>
      <c r="H31" s="1" t="s">
        <v>216</v>
      </c>
      <c r="I31" s="2">
        <v>200000</v>
      </c>
    </row>
    <row r="32" spans="1:10" x14ac:dyDescent="0.45">
      <c r="A32" s="1">
        <v>31</v>
      </c>
      <c r="B32" s="1" t="s">
        <v>212</v>
      </c>
      <c r="C32" s="1" t="s">
        <v>167</v>
      </c>
      <c r="D32" s="1" t="s">
        <v>217</v>
      </c>
      <c r="E32" s="1" t="s">
        <v>218</v>
      </c>
      <c r="F32" s="1" t="s">
        <v>219</v>
      </c>
      <c r="G32" s="1" t="s">
        <v>163</v>
      </c>
      <c r="H32" s="1" t="s">
        <v>216</v>
      </c>
      <c r="I32" s="2">
        <v>200000</v>
      </c>
    </row>
    <row r="33" spans="1:10" x14ac:dyDescent="0.45">
      <c r="A33" s="1">
        <v>32</v>
      </c>
      <c r="B33" s="1" t="s">
        <v>212</v>
      </c>
      <c r="C33" s="1" t="s">
        <v>185</v>
      </c>
      <c r="D33" s="1" t="s">
        <v>220</v>
      </c>
      <c r="E33" s="1" t="s">
        <v>221</v>
      </c>
      <c r="F33" s="1" t="s">
        <v>222</v>
      </c>
      <c r="G33" s="1" t="s">
        <v>223</v>
      </c>
      <c r="H33" s="1" t="s">
        <v>15</v>
      </c>
      <c r="I33" s="2">
        <v>160000</v>
      </c>
    </row>
    <row r="34" spans="1:10" x14ac:dyDescent="0.45">
      <c r="A34" s="1">
        <v>33</v>
      </c>
      <c r="B34" s="1" t="s">
        <v>212</v>
      </c>
      <c r="C34" s="1" t="s">
        <v>159</v>
      </c>
      <c r="D34" s="1" t="s">
        <v>0</v>
      </c>
      <c r="E34" s="1" t="s">
        <v>10</v>
      </c>
      <c r="F34" s="1" t="s">
        <v>201</v>
      </c>
      <c r="G34" s="1" t="s">
        <v>133</v>
      </c>
      <c r="H34" s="1" t="s">
        <v>223</v>
      </c>
      <c r="I34" s="2">
        <v>200000</v>
      </c>
    </row>
    <row r="35" spans="1:10" x14ac:dyDescent="0.45">
      <c r="A35" s="1">
        <v>34</v>
      </c>
      <c r="B35" s="1" t="s">
        <v>212</v>
      </c>
      <c r="C35" s="1" t="s">
        <v>187</v>
      </c>
      <c r="D35" s="1" t="s">
        <v>203</v>
      </c>
      <c r="E35" s="1" t="s">
        <v>236</v>
      </c>
      <c r="F35" s="1" t="s">
        <v>206</v>
      </c>
      <c r="G35" s="1" t="s">
        <v>163</v>
      </c>
      <c r="H35" s="1" t="s">
        <v>216</v>
      </c>
      <c r="I35" s="2">
        <v>250000</v>
      </c>
    </row>
    <row r="36" spans="1:10" x14ac:dyDescent="0.45">
      <c r="A36" s="1">
        <v>35</v>
      </c>
      <c r="B36" s="1" t="s">
        <v>433</v>
      </c>
      <c r="C36" s="1" t="s">
        <v>434</v>
      </c>
      <c r="D36" s="1" t="s">
        <v>60</v>
      </c>
      <c r="E36" s="1" t="s">
        <v>284</v>
      </c>
      <c r="F36" s="1" t="s">
        <v>283</v>
      </c>
      <c r="G36" s="1" t="s">
        <v>435</v>
      </c>
      <c r="H36" s="1" t="s">
        <v>436</v>
      </c>
      <c r="I36" s="2">
        <v>50000</v>
      </c>
      <c r="J36" s="1" t="s">
        <v>437</v>
      </c>
    </row>
    <row r="37" spans="1:10" x14ac:dyDescent="0.45">
      <c r="A37" s="1">
        <v>36</v>
      </c>
      <c r="B37" s="1" t="s">
        <v>255</v>
      </c>
      <c r="C37" s="1" t="s">
        <v>432</v>
      </c>
      <c r="D37" s="1" t="s">
        <v>12</v>
      </c>
      <c r="E37" s="1" t="s">
        <v>13</v>
      </c>
      <c r="F37" s="1" t="s">
        <v>200</v>
      </c>
      <c r="G37" s="1" t="s">
        <v>431</v>
      </c>
      <c r="H37" s="1" t="s">
        <v>223</v>
      </c>
      <c r="I37" s="2">
        <v>100000</v>
      </c>
    </row>
    <row r="38" spans="1:10" x14ac:dyDescent="0.45">
      <c r="A38" s="1">
        <v>37</v>
      </c>
      <c r="B38" s="1" t="s">
        <v>255</v>
      </c>
      <c r="C38" s="1" t="s">
        <v>186</v>
      </c>
      <c r="D38" s="1" t="s">
        <v>252</v>
      </c>
      <c r="E38" s="1" t="s">
        <v>253</v>
      </c>
      <c r="F38" s="1" t="s">
        <v>254</v>
      </c>
      <c r="G38" s="1" t="s">
        <v>151</v>
      </c>
      <c r="H38" s="1" t="s">
        <v>15</v>
      </c>
      <c r="I38" s="2">
        <v>180000</v>
      </c>
      <c r="J38" s="1" t="s">
        <v>430</v>
      </c>
    </row>
    <row r="39" spans="1:10" x14ac:dyDescent="0.45">
      <c r="A39" s="1">
        <v>38</v>
      </c>
      <c r="B39" s="1" t="s">
        <v>428</v>
      </c>
      <c r="C39" s="1" t="s">
        <v>429</v>
      </c>
      <c r="D39" s="1" t="s">
        <v>0</v>
      </c>
      <c r="E39" s="1" t="s">
        <v>10</v>
      </c>
      <c r="F39" s="1" t="s">
        <v>201</v>
      </c>
      <c r="G39" s="1" t="s">
        <v>133</v>
      </c>
      <c r="H39" s="1" t="s">
        <v>223</v>
      </c>
      <c r="I39" s="2">
        <v>200000</v>
      </c>
      <c r="J39" s="1" t="s">
        <v>430</v>
      </c>
    </row>
    <row r="40" spans="1:10" x14ac:dyDescent="0.45">
      <c r="A40" s="1">
        <v>39</v>
      </c>
      <c r="B40" s="1" t="s">
        <v>280</v>
      </c>
      <c r="C40" s="1" t="s">
        <v>281</v>
      </c>
      <c r="D40" s="1" t="s">
        <v>114</v>
      </c>
      <c r="E40" s="1" t="s">
        <v>116</v>
      </c>
      <c r="F40" s="1" t="s">
        <v>202</v>
      </c>
      <c r="G40" s="1" t="s">
        <v>163</v>
      </c>
      <c r="H40" s="1" t="s">
        <v>223</v>
      </c>
      <c r="I40" s="2">
        <v>200000</v>
      </c>
    </row>
    <row r="41" spans="1:10" x14ac:dyDescent="0.45">
      <c r="A41" s="1">
        <v>40</v>
      </c>
      <c r="B41" s="1" t="s">
        <v>280</v>
      </c>
      <c r="C41" s="1" t="s">
        <v>282</v>
      </c>
      <c r="D41" s="1" t="s">
        <v>114</v>
      </c>
      <c r="E41" s="1" t="s">
        <v>116</v>
      </c>
      <c r="F41" s="1" t="s">
        <v>202</v>
      </c>
      <c r="G41" s="1" t="s">
        <v>163</v>
      </c>
      <c r="H41" s="1" t="s">
        <v>223</v>
      </c>
      <c r="I41" s="2">
        <v>200000</v>
      </c>
    </row>
    <row r="42" spans="1:10" x14ac:dyDescent="0.45">
      <c r="A42" s="1">
        <v>41</v>
      </c>
      <c r="B42" s="1" t="s">
        <v>280</v>
      </c>
      <c r="C42" s="1" t="s">
        <v>281</v>
      </c>
      <c r="D42" s="1" t="s">
        <v>60</v>
      </c>
      <c r="E42" s="1" t="s">
        <v>284</v>
      </c>
      <c r="F42" s="1" t="s">
        <v>283</v>
      </c>
      <c r="G42" s="1" t="s">
        <v>163</v>
      </c>
      <c r="H42" s="1" t="s">
        <v>223</v>
      </c>
      <c r="I42" s="2">
        <v>200000</v>
      </c>
    </row>
    <row r="43" spans="1:10" x14ac:dyDescent="0.45">
      <c r="A43" s="1">
        <v>42</v>
      </c>
      <c r="B43" s="1" t="s">
        <v>280</v>
      </c>
      <c r="C43" s="1" t="s">
        <v>282</v>
      </c>
      <c r="D43" s="1" t="s">
        <v>60</v>
      </c>
      <c r="E43" s="1" t="s">
        <v>284</v>
      </c>
      <c r="F43" s="1" t="s">
        <v>283</v>
      </c>
      <c r="G43" s="1" t="s">
        <v>163</v>
      </c>
      <c r="H43" s="1" t="s">
        <v>223</v>
      </c>
      <c r="I43" s="2">
        <v>200000</v>
      </c>
    </row>
    <row r="44" spans="1:10" x14ac:dyDescent="0.45">
      <c r="A44" s="1">
        <v>43</v>
      </c>
      <c r="B44" s="1" t="s">
        <v>280</v>
      </c>
      <c r="C44" s="1" t="s">
        <v>285</v>
      </c>
      <c r="D44" s="1" t="s">
        <v>203</v>
      </c>
      <c r="E44" s="1" t="s">
        <v>236</v>
      </c>
      <c r="F44" s="1" t="s">
        <v>206</v>
      </c>
      <c r="G44" s="1" t="s">
        <v>163</v>
      </c>
      <c r="H44" s="1" t="s">
        <v>223</v>
      </c>
      <c r="I44" s="2">
        <v>200000</v>
      </c>
    </row>
    <row r="45" spans="1:10" x14ac:dyDescent="0.45">
      <c r="A45" s="1">
        <v>44</v>
      </c>
      <c r="B45" s="1" t="s">
        <v>280</v>
      </c>
      <c r="C45" s="1" t="s">
        <v>285</v>
      </c>
      <c r="D45" s="1" t="s">
        <v>422</v>
      </c>
      <c r="E45" s="1" t="s">
        <v>423</v>
      </c>
      <c r="F45" s="1" t="s">
        <v>424</v>
      </c>
      <c r="G45" s="1" t="s">
        <v>163</v>
      </c>
      <c r="H45" s="1" t="s">
        <v>223</v>
      </c>
      <c r="I45" s="2">
        <v>200000</v>
      </c>
    </row>
    <row r="46" spans="1:10" x14ac:dyDescent="0.45">
      <c r="A46" s="1">
        <v>45</v>
      </c>
      <c r="B46" s="1" t="s">
        <v>280</v>
      </c>
      <c r="C46" s="1" t="s">
        <v>285</v>
      </c>
      <c r="D46" s="1" t="s">
        <v>425</v>
      </c>
      <c r="E46" s="1" t="s">
        <v>426</v>
      </c>
      <c r="F46" s="1" t="s">
        <v>427</v>
      </c>
      <c r="G46" s="1" t="s">
        <v>163</v>
      </c>
      <c r="H46" s="1" t="s">
        <v>223</v>
      </c>
      <c r="I46" s="2">
        <v>200000</v>
      </c>
    </row>
    <row r="47" spans="1:10" x14ac:dyDescent="0.45">
      <c r="A47" s="1">
        <v>46</v>
      </c>
      <c r="B47" s="1" t="s">
        <v>280</v>
      </c>
      <c r="C47" s="1" t="s">
        <v>167</v>
      </c>
      <c r="D47" s="1" t="s">
        <v>203</v>
      </c>
      <c r="E47" s="1" t="s">
        <v>236</v>
      </c>
      <c r="F47" s="1" t="s">
        <v>206</v>
      </c>
      <c r="G47" s="1" t="s">
        <v>133</v>
      </c>
      <c r="H47" s="1" t="s">
        <v>223</v>
      </c>
      <c r="I47" s="2">
        <v>200000</v>
      </c>
      <c r="J47" s="1" t="s">
        <v>430</v>
      </c>
    </row>
    <row r="48" spans="1:10" x14ac:dyDescent="0.45">
      <c r="A48" s="1">
        <v>47</v>
      </c>
      <c r="B48" s="1" t="s">
        <v>280</v>
      </c>
      <c r="C48" s="1" t="s">
        <v>159</v>
      </c>
      <c r="D48" s="1" t="s">
        <v>60</v>
      </c>
      <c r="E48" s="1" t="s">
        <v>284</v>
      </c>
      <c r="F48" s="1" t="s">
        <v>283</v>
      </c>
      <c r="G48" s="1" t="s">
        <v>431</v>
      </c>
      <c r="H48" s="1" t="s">
        <v>223</v>
      </c>
      <c r="I48" s="2">
        <v>100000</v>
      </c>
    </row>
    <row r="49" spans="1:1" x14ac:dyDescent="0.45">
      <c r="A49" s="1">
        <v>48</v>
      </c>
    </row>
    <row r="50" spans="1:1" x14ac:dyDescent="0.45">
      <c r="A50" s="1">
        <v>49</v>
      </c>
    </row>
    <row r="51" spans="1:1" x14ac:dyDescent="0.45">
      <c r="A51" s="1">
        <v>50</v>
      </c>
    </row>
    <row r="52" spans="1:1" x14ac:dyDescent="0.45">
      <c r="A52" s="1">
        <v>51</v>
      </c>
    </row>
    <row r="53" spans="1:1" x14ac:dyDescent="0.45">
      <c r="A53" s="1">
        <v>52</v>
      </c>
    </row>
    <row r="54" spans="1:1" x14ac:dyDescent="0.45">
      <c r="A54" s="1">
        <v>53</v>
      </c>
    </row>
    <row r="55" spans="1:1" x14ac:dyDescent="0.45">
      <c r="A55" s="1">
        <v>54</v>
      </c>
    </row>
    <row r="56" spans="1:1" x14ac:dyDescent="0.45">
      <c r="A56" s="1">
        <v>55</v>
      </c>
    </row>
    <row r="57" spans="1:1" x14ac:dyDescent="0.45">
      <c r="A57" s="1">
        <v>56</v>
      </c>
    </row>
    <row r="58" spans="1:1" x14ac:dyDescent="0.45">
      <c r="A58" s="1">
        <v>57</v>
      </c>
    </row>
    <row r="59" spans="1:1" x14ac:dyDescent="0.45">
      <c r="A59" s="1">
        <v>58</v>
      </c>
    </row>
    <row r="60" spans="1:1" x14ac:dyDescent="0.45">
      <c r="A60" s="1">
        <v>59</v>
      </c>
    </row>
    <row r="61" spans="1:1" x14ac:dyDescent="0.45">
      <c r="A61" s="1">
        <v>60</v>
      </c>
    </row>
    <row r="62" spans="1:1" x14ac:dyDescent="0.45">
      <c r="A62" s="1">
        <v>61</v>
      </c>
    </row>
    <row r="63" spans="1:1" x14ac:dyDescent="0.45">
      <c r="A63" s="1">
        <v>62</v>
      </c>
    </row>
    <row r="64" spans="1:1" x14ac:dyDescent="0.45">
      <c r="A64" s="1">
        <v>63</v>
      </c>
    </row>
    <row r="65" spans="1:1" x14ac:dyDescent="0.45">
      <c r="A65" s="1">
        <v>64</v>
      </c>
    </row>
    <row r="66" spans="1:1" x14ac:dyDescent="0.45">
      <c r="A66" s="1">
        <v>65</v>
      </c>
    </row>
    <row r="67" spans="1:1" x14ac:dyDescent="0.45">
      <c r="A67" s="1">
        <v>66</v>
      </c>
    </row>
    <row r="68" spans="1:1" x14ac:dyDescent="0.45">
      <c r="A68" s="1">
        <v>67</v>
      </c>
    </row>
    <row r="69" spans="1:1" x14ac:dyDescent="0.45">
      <c r="A69" s="1">
        <v>68</v>
      </c>
    </row>
    <row r="70" spans="1:1" x14ac:dyDescent="0.45">
      <c r="A70" s="1">
        <v>69</v>
      </c>
    </row>
    <row r="71" spans="1:1" x14ac:dyDescent="0.45">
      <c r="A71" s="1">
        <v>70</v>
      </c>
    </row>
    <row r="72" spans="1:1" x14ac:dyDescent="0.45">
      <c r="A72" s="1">
        <v>71</v>
      </c>
    </row>
    <row r="73" spans="1:1" x14ac:dyDescent="0.45">
      <c r="A73" s="1">
        <v>72</v>
      </c>
    </row>
    <row r="74" spans="1:1" x14ac:dyDescent="0.45">
      <c r="A74" s="1">
        <v>73</v>
      </c>
    </row>
    <row r="75" spans="1:1" x14ac:dyDescent="0.45">
      <c r="A75" s="1">
        <v>74</v>
      </c>
    </row>
    <row r="76" spans="1:1" x14ac:dyDescent="0.45">
      <c r="A76" s="1">
        <v>75</v>
      </c>
    </row>
    <row r="77" spans="1:1" x14ac:dyDescent="0.45">
      <c r="A77" s="1">
        <v>76</v>
      </c>
    </row>
    <row r="78" spans="1:1" x14ac:dyDescent="0.45">
      <c r="A78" s="1">
        <v>77</v>
      </c>
    </row>
    <row r="79" spans="1:1" x14ac:dyDescent="0.45">
      <c r="A79" s="1">
        <v>78</v>
      </c>
    </row>
    <row r="80" spans="1:1" x14ac:dyDescent="0.45">
      <c r="A80" s="1">
        <v>79</v>
      </c>
    </row>
    <row r="81" spans="1:1" x14ac:dyDescent="0.45">
      <c r="A81" s="1">
        <v>80</v>
      </c>
    </row>
    <row r="82" spans="1:1" x14ac:dyDescent="0.45">
      <c r="A82" s="1">
        <v>81</v>
      </c>
    </row>
    <row r="83" spans="1:1" x14ac:dyDescent="0.45">
      <c r="A83" s="1">
        <v>82</v>
      </c>
    </row>
    <row r="84" spans="1:1" x14ac:dyDescent="0.45">
      <c r="A84" s="1">
        <v>83</v>
      </c>
    </row>
    <row r="85" spans="1:1" x14ac:dyDescent="0.45">
      <c r="A85" s="1">
        <v>84</v>
      </c>
    </row>
    <row r="86" spans="1:1" x14ac:dyDescent="0.45">
      <c r="A86" s="1">
        <v>85</v>
      </c>
    </row>
    <row r="87" spans="1:1" x14ac:dyDescent="0.45">
      <c r="A87" s="1">
        <v>86</v>
      </c>
    </row>
    <row r="88" spans="1:1" x14ac:dyDescent="0.45">
      <c r="A88" s="1">
        <v>87</v>
      </c>
    </row>
    <row r="89" spans="1:1" x14ac:dyDescent="0.45">
      <c r="A89" s="1">
        <v>88</v>
      </c>
    </row>
    <row r="90" spans="1:1" x14ac:dyDescent="0.45">
      <c r="A90" s="1">
        <v>89</v>
      </c>
    </row>
    <row r="91" spans="1:1" x14ac:dyDescent="0.45">
      <c r="A91" s="1">
        <v>90</v>
      </c>
    </row>
    <row r="92" spans="1:1" x14ac:dyDescent="0.45">
      <c r="A92" s="1">
        <v>91</v>
      </c>
    </row>
    <row r="93" spans="1:1" x14ac:dyDescent="0.45">
      <c r="A93" s="1">
        <v>92</v>
      </c>
    </row>
    <row r="94" spans="1:1" x14ac:dyDescent="0.45">
      <c r="A94" s="1">
        <v>93</v>
      </c>
    </row>
    <row r="95" spans="1:1" x14ac:dyDescent="0.45">
      <c r="A95" s="1">
        <v>94</v>
      </c>
    </row>
    <row r="96" spans="1:1" x14ac:dyDescent="0.45">
      <c r="A96" s="1">
        <v>95</v>
      </c>
    </row>
    <row r="97" spans="1:1" x14ac:dyDescent="0.45">
      <c r="A97" s="1">
        <v>96</v>
      </c>
    </row>
    <row r="98" spans="1:1" x14ac:dyDescent="0.45">
      <c r="A98" s="1">
        <v>97</v>
      </c>
    </row>
    <row r="99" spans="1:1" x14ac:dyDescent="0.45">
      <c r="A99" s="1">
        <v>98</v>
      </c>
    </row>
    <row r="100" spans="1:1" x14ac:dyDescent="0.45">
      <c r="A100" s="1">
        <v>99</v>
      </c>
    </row>
    <row r="101" spans="1:1" x14ac:dyDescent="0.45">
      <c r="A101" s="1">
        <v>100</v>
      </c>
    </row>
    <row r="102" spans="1:1" x14ac:dyDescent="0.45">
      <c r="A102" s="1">
        <v>101</v>
      </c>
    </row>
    <row r="103" spans="1:1" x14ac:dyDescent="0.45">
      <c r="A103" s="1">
        <v>102</v>
      </c>
    </row>
    <row r="104" spans="1:1" x14ac:dyDescent="0.45">
      <c r="A104" s="1">
        <v>103</v>
      </c>
    </row>
    <row r="105" spans="1:1" x14ac:dyDescent="0.45">
      <c r="A105" s="1">
        <v>104</v>
      </c>
    </row>
    <row r="106" spans="1:1" x14ac:dyDescent="0.45">
      <c r="A106" s="1">
        <v>105</v>
      </c>
    </row>
    <row r="107" spans="1:1" x14ac:dyDescent="0.45">
      <c r="A107" s="1">
        <v>106</v>
      </c>
    </row>
    <row r="108" spans="1:1" x14ac:dyDescent="0.45">
      <c r="A108" s="1">
        <v>107</v>
      </c>
    </row>
    <row r="109" spans="1:1" x14ac:dyDescent="0.45">
      <c r="A109" s="1">
        <v>108</v>
      </c>
    </row>
    <row r="110" spans="1:1" x14ac:dyDescent="0.45">
      <c r="A110" s="1">
        <v>109</v>
      </c>
    </row>
    <row r="111" spans="1:1" x14ac:dyDescent="0.45">
      <c r="A111" s="1">
        <v>110</v>
      </c>
    </row>
    <row r="112" spans="1:1" x14ac:dyDescent="0.45">
      <c r="A112" s="1">
        <v>111</v>
      </c>
    </row>
    <row r="113" spans="1:1" x14ac:dyDescent="0.45">
      <c r="A113" s="1">
        <v>112</v>
      </c>
    </row>
    <row r="114" spans="1:1" x14ac:dyDescent="0.45">
      <c r="A114" s="1">
        <v>113</v>
      </c>
    </row>
    <row r="115" spans="1:1" x14ac:dyDescent="0.45">
      <c r="A115" s="1">
        <v>114</v>
      </c>
    </row>
    <row r="116" spans="1:1" x14ac:dyDescent="0.45">
      <c r="A116" s="1">
        <v>115</v>
      </c>
    </row>
    <row r="117" spans="1:1" x14ac:dyDescent="0.45">
      <c r="A117" s="1">
        <v>116</v>
      </c>
    </row>
    <row r="118" spans="1:1" x14ac:dyDescent="0.45">
      <c r="A118" s="1">
        <v>117</v>
      </c>
    </row>
    <row r="119" spans="1:1" x14ac:dyDescent="0.45">
      <c r="A119" s="1">
        <v>118</v>
      </c>
    </row>
    <row r="120" spans="1:1" x14ac:dyDescent="0.45">
      <c r="A120" s="1">
        <v>119</v>
      </c>
    </row>
    <row r="121" spans="1:1" x14ac:dyDescent="0.45">
      <c r="A121" s="1">
        <v>120</v>
      </c>
    </row>
    <row r="122" spans="1:1" x14ac:dyDescent="0.45">
      <c r="A122" s="1">
        <v>121</v>
      </c>
    </row>
    <row r="123" spans="1:1" x14ac:dyDescent="0.45">
      <c r="A123" s="1">
        <v>122</v>
      </c>
    </row>
    <row r="124" spans="1:1" x14ac:dyDescent="0.45">
      <c r="A124" s="1">
        <v>123</v>
      </c>
    </row>
    <row r="125" spans="1:1" x14ac:dyDescent="0.45">
      <c r="A125" s="1">
        <v>124</v>
      </c>
    </row>
    <row r="126" spans="1:1" x14ac:dyDescent="0.45">
      <c r="A126" s="1">
        <v>125</v>
      </c>
    </row>
    <row r="127" spans="1:1" x14ac:dyDescent="0.45">
      <c r="A127" s="1">
        <v>126</v>
      </c>
    </row>
    <row r="128" spans="1:1" x14ac:dyDescent="0.45">
      <c r="A128" s="1">
        <v>127</v>
      </c>
    </row>
    <row r="129" spans="1:1" x14ac:dyDescent="0.45">
      <c r="A129" s="1">
        <v>128</v>
      </c>
    </row>
    <row r="130" spans="1:1" x14ac:dyDescent="0.45">
      <c r="A130" s="1">
        <v>129</v>
      </c>
    </row>
    <row r="131" spans="1:1" x14ac:dyDescent="0.45">
      <c r="A131" s="1">
        <v>130</v>
      </c>
    </row>
    <row r="132" spans="1:1" x14ac:dyDescent="0.45">
      <c r="A132" s="1">
        <v>131</v>
      </c>
    </row>
    <row r="133" spans="1:1" x14ac:dyDescent="0.45">
      <c r="A133" s="1">
        <v>132</v>
      </c>
    </row>
    <row r="134" spans="1:1" x14ac:dyDescent="0.45">
      <c r="A134" s="1">
        <v>133</v>
      </c>
    </row>
    <row r="135" spans="1:1" x14ac:dyDescent="0.45">
      <c r="A135" s="1">
        <v>134</v>
      </c>
    </row>
    <row r="136" spans="1:1" x14ac:dyDescent="0.45">
      <c r="A136" s="1">
        <v>135</v>
      </c>
    </row>
    <row r="137" spans="1:1" x14ac:dyDescent="0.45">
      <c r="A137" s="1">
        <v>136</v>
      </c>
    </row>
    <row r="138" spans="1:1" x14ac:dyDescent="0.45">
      <c r="A138" s="1">
        <v>137</v>
      </c>
    </row>
    <row r="139" spans="1:1" x14ac:dyDescent="0.45">
      <c r="A139" s="1">
        <v>138</v>
      </c>
    </row>
    <row r="140" spans="1:1" x14ac:dyDescent="0.45">
      <c r="A140" s="1">
        <v>139</v>
      </c>
    </row>
    <row r="141" spans="1:1" x14ac:dyDescent="0.45">
      <c r="A141" s="1">
        <v>140</v>
      </c>
    </row>
    <row r="142" spans="1:1" x14ac:dyDescent="0.45">
      <c r="A142" s="1">
        <v>141</v>
      </c>
    </row>
    <row r="143" spans="1:1" x14ac:dyDescent="0.45">
      <c r="A143" s="1">
        <v>142</v>
      </c>
    </row>
    <row r="144" spans="1:1" x14ac:dyDescent="0.45">
      <c r="A144" s="1">
        <v>143</v>
      </c>
    </row>
    <row r="145" spans="1:1" x14ac:dyDescent="0.45">
      <c r="A145" s="1">
        <v>144</v>
      </c>
    </row>
    <row r="146" spans="1:1" x14ac:dyDescent="0.45">
      <c r="A146" s="1">
        <v>145</v>
      </c>
    </row>
    <row r="147" spans="1:1" x14ac:dyDescent="0.45">
      <c r="A147" s="1">
        <v>146</v>
      </c>
    </row>
    <row r="148" spans="1:1" x14ac:dyDescent="0.45">
      <c r="A148" s="1">
        <v>147</v>
      </c>
    </row>
    <row r="149" spans="1:1" x14ac:dyDescent="0.45">
      <c r="A149" s="1">
        <v>148</v>
      </c>
    </row>
    <row r="150" spans="1:1" x14ac:dyDescent="0.45">
      <c r="A150" s="1">
        <v>149</v>
      </c>
    </row>
    <row r="151" spans="1:1" x14ac:dyDescent="0.45">
      <c r="A151" s="1">
        <v>150</v>
      </c>
    </row>
    <row r="152" spans="1:1" x14ac:dyDescent="0.45">
      <c r="A152" s="1">
        <v>151</v>
      </c>
    </row>
    <row r="153" spans="1:1" x14ac:dyDescent="0.45">
      <c r="A153" s="1">
        <v>152</v>
      </c>
    </row>
    <row r="154" spans="1:1" x14ac:dyDescent="0.45">
      <c r="A154" s="1">
        <v>153</v>
      </c>
    </row>
    <row r="155" spans="1:1" x14ac:dyDescent="0.45">
      <c r="A155" s="1">
        <v>154</v>
      </c>
    </row>
    <row r="156" spans="1:1" x14ac:dyDescent="0.45">
      <c r="A156" s="1">
        <v>155</v>
      </c>
    </row>
    <row r="157" spans="1:1" x14ac:dyDescent="0.45">
      <c r="A157" s="1">
        <v>156</v>
      </c>
    </row>
    <row r="158" spans="1:1" x14ac:dyDescent="0.45">
      <c r="A158" s="1">
        <v>157</v>
      </c>
    </row>
    <row r="159" spans="1:1" x14ac:dyDescent="0.45">
      <c r="A159" s="1">
        <v>158</v>
      </c>
    </row>
    <row r="160" spans="1:1" x14ac:dyDescent="0.45">
      <c r="A160" s="1">
        <v>159</v>
      </c>
    </row>
    <row r="161" spans="1:1" x14ac:dyDescent="0.45">
      <c r="A161" s="1">
        <v>160</v>
      </c>
    </row>
    <row r="162" spans="1:1" x14ac:dyDescent="0.45">
      <c r="A162" s="1">
        <v>161</v>
      </c>
    </row>
    <row r="163" spans="1:1" x14ac:dyDescent="0.45">
      <c r="A163" s="1">
        <v>162</v>
      </c>
    </row>
    <row r="164" spans="1:1" x14ac:dyDescent="0.45">
      <c r="A164" s="1">
        <v>163</v>
      </c>
    </row>
    <row r="165" spans="1:1" x14ac:dyDescent="0.45">
      <c r="A165" s="1">
        <v>164</v>
      </c>
    </row>
    <row r="166" spans="1:1" x14ac:dyDescent="0.45">
      <c r="A166" s="1">
        <v>165</v>
      </c>
    </row>
    <row r="167" spans="1:1" x14ac:dyDescent="0.45">
      <c r="A167" s="1">
        <v>166</v>
      </c>
    </row>
    <row r="168" spans="1:1" x14ac:dyDescent="0.45">
      <c r="A168" s="1">
        <v>167</v>
      </c>
    </row>
    <row r="169" spans="1:1" x14ac:dyDescent="0.45">
      <c r="A169" s="1">
        <v>168</v>
      </c>
    </row>
    <row r="170" spans="1:1" x14ac:dyDescent="0.45">
      <c r="A170" s="1">
        <v>169</v>
      </c>
    </row>
    <row r="171" spans="1:1" x14ac:dyDescent="0.45">
      <c r="A171" s="1">
        <v>170</v>
      </c>
    </row>
    <row r="172" spans="1:1" x14ac:dyDescent="0.45">
      <c r="A172" s="1">
        <v>171</v>
      </c>
    </row>
    <row r="173" spans="1:1" x14ac:dyDescent="0.45">
      <c r="A173" s="1">
        <v>172</v>
      </c>
    </row>
    <row r="174" spans="1:1" x14ac:dyDescent="0.45">
      <c r="A174" s="1">
        <v>173</v>
      </c>
    </row>
    <row r="175" spans="1:1" x14ac:dyDescent="0.45">
      <c r="A175" s="1">
        <v>174</v>
      </c>
    </row>
    <row r="176" spans="1:1" x14ac:dyDescent="0.45">
      <c r="A176" s="1">
        <v>175</v>
      </c>
    </row>
    <row r="177" spans="1:1" x14ac:dyDescent="0.45">
      <c r="A177" s="1">
        <v>176</v>
      </c>
    </row>
    <row r="178" spans="1:1" x14ac:dyDescent="0.45">
      <c r="A178" s="1">
        <v>177</v>
      </c>
    </row>
    <row r="179" spans="1:1" x14ac:dyDescent="0.45">
      <c r="A179" s="1">
        <v>178</v>
      </c>
    </row>
    <row r="180" spans="1:1" x14ac:dyDescent="0.45">
      <c r="A180" s="1">
        <v>179</v>
      </c>
    </row>
    <row r="181" spans="1:1" x14ac:dyDescent="0.45">
      <c r="A181" s="1">
        <v>180</v>
      </c>
    </row>
    <row r="182" spans="1:1" x14ac:dyDescent="0.45">
      <c r="A182" s="1">
        <v>181</v>
      </c>
    </row>
    <row r="183" spans="1:1" x14ac:dyDescent="0.45">
      <c r="A183" s="1">
        <v>182</v>
      </c>
    </row>
    <row r="184" spans="1:1" x14ac:dyDescent="0.45">
      <c r="A184" s="1">
        <v>183</v>
      </c>
    </row>
    <row r="185" spans="1:1" x14ac:dyDescent="0.45">
      <c r="A185" s="1">
        <v>184</v>
      </c>
    </row>
    <row r="186" spans="1:1" x14ac:dyDescent="0.45">
      <c r="A186" s="1">
        <v>185</v>
      </c>
    </row>
    <row r="187" spans="1:1" x14ac:dyDescent="0.45">
      <c r="A187" s="1">
        <v>186</v>
      </c>
    </row>
    <row r="188" spans="1:1" x14ac:dyDescent="0.45">
      <c r="A188" s="1">
        <v>187</v>
      </c>
    </row>
    <row r="189" spans="1:1" x14ac:dyDescent="0.45">
      <c r="A189" s="1">
        <v>188</v>
      </c>
    </row>
    <row r="190" spans="1:1" x14ac:dyDescent="0.45">
      <c r="A190" s="1">
        <v>189</v>
      </c>
    </row>
    <row r="191" spans="1:1" x14ac:dyDescent="0.45">
      <c r="A191" s="1">
        <v>190</v>
      </c>
    </row>
    <row r="192" spans="1:1" x14ac:dyDescent="0.45">
      <c r="A192" s="1">
        <v>191</v>
      </c>
    </row>
    <row r="193" spans="1:1" x14ac:dyDescent="0.45">
      <c r="A193" s="1">
        <v>192</v>
      </c>
    </row>
    <row r="194" spans="1:1" x14ac:dyDescent="0.45">
      <c r="A194" s="1">
        <v>193</v>
      </c>
    </row>
    <row r="195" spans="1:1" x14ac:dyDescent="0.45">
      <c r="A195" s="1">
        <v>194</v>
      </c>
    </row>
    <row r="196" spans="1:1" x14ac:dyDescent="0.45">
      <c r="A196" s="1">
        <v>195</v>
      </c>
    </row>
    <row r="197" spans="1:1" x14ac:dyDescent="0.45">
      <c r="A197" s="1">
        <v>196</v>
      </c>
    </row>
    <row r="198" spans="1:1" x14ac:dyDescent="0.45">
      <c r="A198" s="1">
        <v>197</v>
      </c>
    </row>
    <row r="199" spans="1:1" x14ac:dyDescent="0.45">
      <c r="A199" s="1">
        <v>198</v>
      </c>
    </row>
    <row r="200" spans="1:1" x14ac:dyDescent="0.45">
      <c r="A200" s="1">
        <v>199</v>
      </c>
    </row>
    <row r="201" spans="1:1" x14ac:dyDescent="0.45">
      <c r="A201" s="1">
        <v>200</v>
      </c>
    </row>
    <row r="202" spans="1:1" x14ac:dyDescent="0.45">
      <c r="A202" s="1">
        <v>201</v>
      </c>
    </row>
    <row r="203" spans="1:1" x14ac:dyDescent="0.45">
      <c r="A203" s="1">
        <v>202</v>
      </c>
    </row>
    <row r="204" spans="1:1" x14ac:dyDescent="0.45">
      <c r="A204" s="1">
        <v>203</v>
      </c>
    </row>
    <row r="205" spans="1:1" x14ac:dyDescent="0.45">
      <c r="A205" s="1">
        <v>204</v>
      </c>
    </row>
    <row r="206" spans="1:1" x14ac:dyDescent="0.45">
      <c r="A206" s="1">
        <v>205</v>
      </c>
    </row>
    <row r="207" spans="1:1" x14ac:dyDescent="0.45">
      <c r="A207" s="1">
        <v>206</v>
      </c>
    </row>
    <row r="208" spans="1:1" x14ac:dyDescent="0.45">
      <c r="A208" s="1">
        <v>207</v>
      </c>
    </row>
    <row r="209" spans="1:1" x14ac:dyDescent="0.45">
      <c r="A209" s="1">
        <v>208</v>
      </c>
    </row>
    <row r="210" spans="1:1" x14ac:dyDescent="0.45">
      <c r="A210" s="1">
        <v>209</v>
      </c>
    </row>
    <row r="211" spans="1:1" x14ac:dyDescent="0.45">
      <c r="A211" s="1">
        <v>210</v>
      </c>
    </row>
  </sheetData>
  <autoFilter ref="A1:J211" xr:uid="{2C2C38C8-9CBD-4C8F-B36B-5E86865B6CE1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D3704-44B1-4F85-9CC2-59ABF3F263B8}">
  <sheetPr codeName="Sheet3"/>
  <dimension ref="A1:K805"/>
  <sheetViews>
    <sheetView showGridLines="0" zoomScaleNormal="100" workbookViewId="0">
      <selection activeCell="F25" sqref="F25"/>
    </sheetView>
  </sheetViews>
  <sheetFormatPr defaultRowHeight="17" x14ac:dyDescent="0.45"/>
  <cols>
    <col min="1" max="1" width="4.6640625" style="3" customWidth="1"/>
    <col min="2" max="2" width="16.58203125" style="1" customWidth="1"/>
    <col min="3" max="3" width="7.6640625" style="1" customWidth="1"/>
    <col min="4" max="4" width="13.6640625" style="1" customWidth="1"/>
    <col min="5" max="5" width="14.6640625" style="1" customWidth="1"/>
    <col min="6" max="6" width="14.6640625" customWidth="1"/>
    <col min="7" max="8" width="12.58203125" customWidth="1"/>
    <col min="9" max="9" width="10.58203125" style="1" customWidth="1"/>
    <col min="10" max="10" width="13.6640625" style="1" customWidth="1"/>
    <col min="11" max="11" width="13.6640625" style="2" customWidth="1"/>
  </cols>
  <sheetData>
    <row r="1" spans="1:11" ht="17.5" thickBot="1" x14ac:dyDescent="0.5">
      <c r="A1" s="23" t="s">
        <v>128</v>
      </c>
      <c r="B1" s="75" t="s">
        <v>224</v>
      </c>
      <c r="C1" s="24" t="s">
        <v>1</v>
      </c>
      <c r="D1" s="35" t="s">
        <v>2</v>
      </c>
      <c r="E1" s="25" t="s">
        <v>8</v>
      </c>
      <c r="F1" s="36" t="s">
        <v>132</v>
      </c>
      <c r="G1" s="77" t="s">
        <v>269</v>
      </c>
      <c r="H1" s="77" t="s">
        <v>270</v>
      </c>
      <c r="I1" s="23" t="s">
        <v>225</v>
      </c>
      <c r="J1" s="23" t="s">
        <v>226</v>
      </c>
      <c r="K1" s="23" t="s">
        <v>227</v>
      </c>
    </row>
    <row r="2" spans="1:11" ht="17.5" thickTop="1" x14ac:dyDescent="0.45">
      <c r="A2" s="37">
        <v>1</v>
      </c>
      <c r="B2" s="76" t="s">
        <v>228</v>
      </c>
      <c r="C2" s="38" t="s">
        <v>79</v>
      </c>
      <c r="D2" s="37" t="s">
        <v>175</v>
      </c>
      <c r="E2" s="37" t="s">
        <v>174</v>
      </c>
      <c r="F2" s="78">
        <f>G2*I2+H2*J2</f>
        <v>3380000</v>
      </c>
      <c r="G2" s="44">
        <v>260000</v>
      </c>
      <c r="H2" s="78">
        <v>100000</v>
      </c>
      <c r="I2" s="37">
        <v>13</v>
      </c>
      <c r="J2" s="37"/>
      <c r="K2" s="39"/>
    </row>
    <row r="3" spans="1:11" x14ac:dyDescent="0.45">
      <c r="A3" s="3">
        <v>2</v>
      </c>
      <c r="B3" s="3" t="s">
        <v>228</v>
      </c>
      <c r="C3" s="8" t="s">
        <v>121</v>
      </c>
      <c r="D3" s="3" t="s">
        <v>229</v>
      </c>
      <c r="E3" s="3" t="s">
        <v>231</v>
      </c>
      <c r="F3" s="31">
        <f t="shared" ref="F3:F12" si="0">G3*I3+H3*J3</f>
        <v>2600000</v>
      </c>
      <c r="G3" s="45">
        <v>260000</v>
      </c>
      <c r="H3" s="31">
        <v>100000</v>
      </c>
      <c r="I3" s="3">
        <v>10</v>
      </c>
      <c r="J3" s="3"/>
      <c r="K3" s="3"/>
    </row>
    <row r="4" spans="1:11" x14ac:dyDescent="0.45">
      <c r="A4" s="3">
        <v>3</v>
      </c>
      <c r="B4" s="8" t="s">
        <v>232</v>
      </c>
      <c r="C4" s="8" t="s">
        <v>93</v>
      </c>
      <c r="D4" s="3" t="s">
        <v>233</v>
      </c>
      <c r="E4" s="3" t="s">
        <v>235</v>
      </c>
      <c r="F4" s="31">
        <f t="shared" si="0"/>
        <v>2860000</v>
      </c>
      <c r="G4" s="45">
        <v>260000</v>
      </c>
      <c r="H4" s="31">
        <v>100000</v>
      </c>
      <c r="I4" s="3">
        <v>11</v>
      </c>
      <c r="J4" s="3"/>
      <c r="K4" s="4"/>
    </row>
    <row r="5" spans="1:11" x14ac:dyDescent="0.45">
      <c r="A5" s="3">
        <v>4</v>
      </c>
      <c r="B5" s="8" t="s">
        <v>232</v>
      </c>
      <c r="C5" s="8" t="s">
        <v>203</v>
      </c>
      <c r="D5" s="3" t="s">
        <v>206</v>
      </c>
      <c r="E5" s="3" t="s">
        <v>236</v>
      </c>
      <c r="F5" s="31">
        <f t="shared" si="0"/>
        <v>520000</v>
      </c>
      <c r="G5" s="45">
        <v>260000</v>
      </c>
      <c r="H5" s="31">
        <v>100000</v>
      </c>
      <c r="I5" s="3">
        <v>2</v>
      </c>
      <c r="J5" s="3"/>
      <c r="K5" s="4"/>
    </row>
    <row r="6" spans="1:11" x14ac:dyDescent="0.45">
      <c r="A6" s="3">
        <v>5</v>
      </c>
      <c r="B6" s="8" t="s">
        <v>237</v>
      </c>
      <c r="C6" s="8" t="s">
        <v>238</v>
      </c>
      <c r="D6" s="3" t="s">
        <v>240</v>
      </c>
      <c r="E6" s="3" t="s">
        <v>241</v>
      </c>
      <c r="F6" s="31">
        <f t="shared" si="0"/>
        <v>5040000</v>
      </c>
      <c r="G6" s="45">
        <v>360000</v>
      </c>
      <c r="H6" s="31">
        <v>100000</v>
      </c>
      <c r="I6" s="3">
        <v>14</v>
      </c>
      <c r="J6" s="3"/>
      <c r="K6" s="4"/>
    </row>
    <row r="7" spans="1:11" ht="17.149999999999999" customHeight="1" x14ac:dyDescent="0.45">
      <c r="A7" s="3">
        <v>6</v>
      </c>
      <c r="B7" s="8" t="s">
        <v>237</v>
      </c>
      <c r="C7" s="8" t="s">
        <v>239</v>
      </c>
      <c r="D7" s="3" t="s">
        <v>242</v>
      </c>
      <c r="E7" s="3" t="s">
        <v>243</v>
      </c>
      <c r="F7" s="31">
        <f t="shared" si="0"/>
        <v>3960000</v>
      </c>
      <c r="G7" s="45">
        <v>360000</v>
      </c>
      <c r="H7" s="31">
        <v>100000</v>
      </c>
      <c r="I7" s="3">
        <v>11</v>
      </c>
      <c r="J7" s="3"/>
      <c r="K7" s="4"/>
    </row>
    <row r="8" spans="1:11" x14ac:dyDescent="0.45">
      <c r="A8" s="3">
        <v>7</v>
      </c>
      <c r="B8" s="8" t="s">
        <v>237</v>
      </c>
      <c r="C8" s="8" t="s">
        <v>249</v>
      </c>
      <c r="D8" s="3" t="s">
        <v>250</v>
      </c>
      <c r="E8" s="3" t="s">
        <v>251</v>
      </c>
      <c r="F8" s="31">
        <f t="shared" si="0"/>
        <v>720000</v>
      </c>
      <c r="G8" s="45">
        <v>360000</v>
      </c>
      <c r="H8" s="31">
        <v>100000</v>
      </c>
      <c r="I8" s="3">
        <v>2</v>
      </c>
      <c r="J8" s="3"/>
      <c r="K8" s="4"/>
    </row>
    <row r="9" spans="1:11" x14ac:dyDescent="0.45">
      <c r="A9" s="3">
        <v>8</v>
      </c>
      <c r="B9" s="8" t="s">
        <v>244</v>
      </c>
      <c r="C9" s="8" t="s">
        <v>49</v>
      </c>
      <c r="D9" s="3" t="s">
        <v>245</v>
      </c>
      <c r="E9" s="3" t="s">
        <v>247</v>
      </c>
      <c r="F9" s="31">
        <f t="shared" si="0"/>
        <v>4900000</v>
      </c>
      <c r="G9" s="45">
        <v>350000</v>
      </c>
      <c r="H9" s="31">
        <v>100000</v>
      </c>
      <c r="I9" s="3">
        <v>14</v>
      </c>
      <c r="J9" s="3"/>
      <c r="K9" s="4"/>
    </row>
    <row r="10" spans="1:11" x14ac:dyDescent="0.45">
      <c r="A10" s="3">
        <v>9</v>
      </c>
      <c r="B10" s="8" t="s">
        <v>244</v>
      </c>
      <c r="C10" s="8" t="s">
        <v>239</v>
      </c>
      <c r="D10" s="3" t="s">
        <v>242</v>
      </c>
      <c r="E10" s="3" t="s">
        <v>243</v>
      </c>
      <c r="F10" s="31">
        <f t="shared" si="0"/>
        <v>350000</v>
      </c>
      <c r="G10" s="45">
        <v>350000</v>
      </c>
      <c r="H10" s="31">
        <v>100000</v>
      </c>
      <c r="I10" s="3">
        <v>1</v>
      </c>
      <c r="J10" s="3"/>
      <c r="K10" s="4"/>
    </row>
    <row r="11" spans="1:11" x14ac:dyDescent="0.45">
      <c r="A11" s="3">
        <v>10</v>
      </c>
      <c r="B11" s="8" t="s">
        <v>244</v>
      </c>
      <c r="C11" s="8" t="s">
        <v>203</v>
      </c>
      <c r="D11" s="3" t="s">
        <v>206</v>
      </c>
      <c r="E11" s="3" t="s">
        <v>236</v>
      </c>
      <c r="F11" s="31">
        <f t="shared" si="0"/>
        <v>700000</v>
      </c>
      <c r="G11" s="45">
        <v>350000</v>
      </c>
      <c r="H11" s="31">
        <v>100000</v>
      </c>
      <c r="I11" s="3">
        <v>2</v>
      </c>
      <c r="J11" s="3"/>
      <c r="K11" s="4"/>
    </row>
    <row r="12" spans="1:11" x14ac:dyDescent="0.45">
      <c r="A12" s="3">
        <v>11</v>
      </c>
      <c r="B12" s="8" t="s">
        <v>248</v>
      </c>
      <c r="C12" s="8" t="s">
        <v>249</v>
      </c>
      <c r="D12" s="3" t="s">
        <v>250</v>
      </c>
      <c r="E12" s="3" t="s">
        <v>251</v>
      </c>
      <c r="F12" s="79">
        <f t="shared" si="0"/>
        <v>4550000</v>
      </c>
      <c r="G12" s="45">
        <v>350000</v>
      </c>
      <c r="H12" s="79">
        <v>100000</v>
      </c>
      <c r="I12" s="3">
        <v>13</v>
      </c>
      <c r="J12" s="3"/>
      <c r="K12" s="4"/>
    </row>
    <row r="13" spans="1:11" x14ac:dyDescent="0.45">
      <c r="A13" s="3">
        <v>12</v>
      </c>
      <c r="B13" s="8"/>
      <c r="C13" s="8"/>
      <c r="D13" s="3"/>
      <c r="E13" s="3"/>
      <c r="F13" s="45"/>
      <c r="G13" s="45"/>
      <c r="H13" s="45"/>
      <c r="I13" s="3"/>
      <c r="J13" s="3"/>
      <c r="K13" s="4"/>
    </row>
    <row r="14" spans="1:11" x14ac:dyDescent="0.45">
      <c r="A14" s="42"/>
      <c r="B14" s="42"/>
      <c r="C14" s="42"/>
      <c r="D14" s="42"/>
      <c r="E14" s="42"/>
      <c r="F14" s="43"/>
      <c r="G14" s="41"/>
      <c r="H14" s="41"/>
      <c r="K14" s="15"/>
    </row>
    <row r="15" spans="1:11" x14ac:dyDescent="0.45">
      <c r="A15" s="1"/>
      <c r="F15" s="41"/>
      <c r="G15" s="41"/>
      <c r="H15" s="41"/>
      <c r="K15" s="15"/>
    </row>
    <row r="16" spans="1:11" x14ac:dyDescent="0.45">
      <c r="A16" s="1"/>
      <c r="B16" s="3" t="s">
        <v>273</v>
      </c>
      <c r="C16" s="27"/>
      <c r="D16" s="3" t="s">
        <v>276</v>
      </c>
      <c r="E16" s="3" t="s">
        <v>277</v>
      </c>
      <c r="F16" s="31" t="s">
        <v>278</v>
      </c>
      <c r="G16" s="5" t="s">
        <v>279</v>
      </c>
      <c r="H16" s="41"/>
      <c r="K16" s="15"/>
    </row>
    <row r="17" spans="1:11" x14ac:dyDescent="0.45">
      <c r="A17" s="1"/>
      <c r="B17" s="3" t="s">
        <v>271</v>
      </c>
      <c r="C17" s="27"/>
      <c r="D17" s="29">
        <f t="shared" ref="D17:D22" si="1">SUM(F2)</f>
        <v>3380000</v>
      </c>
      <c r="E17" s="3"/>
      <c r="F17" s="5"/>
      <c r="G17" s="31">
        <f>SUM(D17:F17)</f>
        <v>3380000</v>
      </c>
      <c r="H17" s="41"/>
      <c r="K17" s="15"/>
    </row>
    <row r="18" spans="1:11" x14ac:dyDescent="0.45">
      <c r="A18" s="1"/>
      <c r="B18" s="3" t="s">
        <v>272</v>
      </c>
      <c r="C18" s="27"/>
      <c r="D18" s="29">
        <f t="shared" si="1"/>
        <v>2600000</v>
      </c>
      <c r="E18" s="3"/>
      <c r="F18" s="5"/>
      <c r="G18" s="31">
        <f t="shared" ref="G18:G24" si="2">SUM(D18:F18)</f>
        <v>2600000</v>
      </c>
      <c r="H18" s="41"/>
      <c r="K18" s="15"/>
    </row>
    <row r="19" spans="1:11" x14ac:dyDescent="0.45">
      <c r="A19" s="1"/>
      <c r="B19" s="3" t="s">
        <v>274</v>
      </c>
      <c r="C19" s="27"/>
      <c r="D19" s="29">
        <f t="shared" si="1"/>
        <v>2860000</v>
      </c>
      <c r="E19" s="3"/>
      <c r="F19" s="5"/>
      <c r="G19" s="31">
        <f t="shared" si="2"/>
        <v>2860000</v>
      </c>
      <c r="H19" s="41"/>
      <c r="K19" s="15"/>
    </row>
    <row r="20" spans="1:11" x14ac:dyDescent="0.45">
      <c r="A20" s="1"/>
      <c r="B20" s="3" t="s">
        <v>275</v>
      </c>
      <c r="C20" s="27"/>
      <c r="D20" s="29">
        <f t="shared" si="1"/>
        <v>520000</v>
      </c>
      <c r="E20" s="80">
        <f>SUM(F11)</f>
        <v>700000</v>
      </c>
      <c r="F20" s="5"/>
      <c r="G20" s="31">
        <f t="shared" si="2"/>
        <v>1220000</v>
      </c>
      <c r="H20" s="41"/>
      <c r="K20" s="15"/>
    </row>
    <row r="21" spans="1:11" x14ac:dyDescent="0.45">
      <c r="A21" s="1"/>
      <c r="B21" s="3" t="s">
        <v>238</v>
      </c>
      <c r="C21" s="27"/>
      <c r="D21" s="29">
        <f t="shared" si="1"/>
        <v>5040000</v>
      </c>
      <c r="E21" s="3"/>
      <c r="F21" s="5"/>
      <c r="G21" s="31">
        <f t="shared" si="2"/>
        <v>5040000</v>
      </c>
      <c r="H21" s="41"/>
      <c r="K21" s="15"/>
    </row>
    <row r="22" spans="1:11" x14ac:dyDescent="0.45">
      <c r="A22" s="1"/>
      <c r="B22" s="3" t="s">
        <v>239</v>
      </c>
      <c r="C22" s="27"/>
      <c r="D22" s="29">
        <f t="shared" si="1"/>
        <v>3960000</v>
      </c>
      <c r="E22" s="80">
        <f>SUM(F10)</f>
        <v>350000</v>
      </c>
      <c r="F22" s="5"/>
      <c r="G22" s="31">
        <f t="shared" si="2"/>
        <v>4310000</v>
      </c>
      <c r="H22" s="41"/>
      <c r="K22" s="15"/>
    </row>
    <row r="23" spans="1:11" x14ac:dyDescent="0.45">
      <c r="A23" s="1"/>
      <c r="B23" s="3" t="s">
        <v>249</v>
      </c>
      <c r="C23" s="27"/>
      <c r="D23" s="29">
        <f>SUM(F12)</f>
        <v>4550000</v>
      </c>
      <c r="E23" s="80">
        <f>SUM(F8)</f>
        <v>720000</v>
      </c>
      <c r="F23" s="5"/>
      <c r="G23" s="31">
        <f t="shared" si="2"/>
        <v>5270000</v>
      </c>
      <c r="H23" s="41"/>
      <c r="K23" s="15"/>
    </row>
    <row r="24" spans="1:11" x14ac:dyDescent="0.45">
      <c r="A24" s="1"/>
      <c r="B24" s="3" t="s">
        <v>49</v>
      </c>
      <c r="C24" s="27"/>
      <c r="D24" s="29">
        <f>SUM(F9)</f>
        <v>4900000</v>
      </c>
      <c r="E24" s="3"/>
      <c r="F24" s="5"/>
      <c r="G24" s="31">
        <f t="shared" si="2"/>
        <v>4900000</v>
      </c>
      <c r="H24" s="41"/>
      <c r="K24" s="15"/>
    </row>
    <row r="25" spans="1:11" x14ac:dyDescent="0.45">
      <c r="A25" s="1"/>
      <c r="B25" s="3"/>
      <c r="C25" s="27"/>
      <c r="D25" s="27"/>
      <c r="E25" s="3"/>
      <c r="F25" s="5"/>
      <c r="G25" s="5"/>
      <c r="H25" s="41"/>
      <c r="K25" s="15"/>
    </row>
    <row r="26" spans="1:11" x14ac:dyDescent="0.45">
      <c r="A26" s="1"/>
      <c r="B26" s="3"/>
      <c r="C26" s="27"/>
      <c r="D26" s="27"/>
      <c r="E26" s="3"/>
      <c r="F26" s="5"/>
      <c r="G26" s="5"/>
      <c r="H26" s="41"/>
      <c r="K26" s="15"/>
    </row>
    <row r="27" spans="1:11" x14ac:dyDescent="0.45">
      <c r="A27" s="1"/>
      <c r="B27" s="3"/>
      <c r="C27" s="27"/>
      <c r="D27" s="27"/>
      <c r="E27" s="3"/>
      <c r="F27" s="5"/>
      <c r="G27" s="5"/>
      <c r="H27" s="41"/>
      <c r="K27" s="15"/>
    </row>
    <row r="28" spans="1:11" x14ac:dyDescent="0.45">
      <c r="A28" s="1"/>
      <c r="B28" s="3"/>
      <c r="C28" s="27"/>
      <c r="D28" s="27"/>
      <c r="E28" s="3"/>
      <c r="F28" s="5"/>
      <c r="G28" s="5"/>
      <c r="H28" s="41"/>
      <c r="K28" s="15"/>
    </row>
    <row r="29" spans="1:11" x14ac:dyDescent="0.45">
      <c r="A29" s="1"/>
      <c r="B29" s="3"/>
      <c r="C29" s="27"/>
      <c r="D29" s="27"/>
      <c r="E29" s="3"/>
      <c r="F29" s="5"/>
      <c r="G29" s="5"/>
      <c r="H29" s="41"/>
      <c r="K29" s="15"/>
    </row>
    <row r="30" spans="1:11" x14ac:dyDescent="0.45">
      <c r="A30" s="1"/>
      <c r="B30" s="3"/>
      <c r="C30" s="3"/>
      <c r="D30" s="3"/>
      <c r="E30" s="3"/>
      <c r="F30" s="5"/>
      <c r="G30" s="5"/>
      <c r="H30" s="41"/>
      <c r="K30" s="15"/>
    </row>
    <row r="31" spans="1:11" x14ac:dyDescent="0.45">
      <c r="A31" s="1"/>
      <c r="F31" s="41"/>
      <c r="G31" s="41"/>
      <c r="H31" s="41"/>
      <c r="K31" s="15"/>
    </row>
    <row r="32" spans="1:11" x14ac:dyDescent="0.45">
      <c r="A32" s="1"/>
      <c r="F32" s="41"/>
      <c r="G32" s="41"/>
      <c r="H32" s="41"/>
      <c r="K32" s="15"/>
    </row>
    <row r="33" spans="1:11" x14ac:dyDescent="0.45">
      <c r="A33" s="1"/>
      <c r="F33" s="41"/>
      <c r="G33" s="41"/>
      <c r="H33" s="41"/>
      <c r="K33" s="15"/>
    </row>
    <row r="34" spans="1:11" x14ac:dyDescent="0.45">
      <c r="A34" s="1"/>
      <c r="F34" s="41"/>
      <c r="G34" s="41"/>
      <c r="H34" s="41"/>
      <c r="K34" s="15"/>
    </row>
    <row r="35" spans="1:11" x14ac:dyDescent="0.45">
      <c r="A35" s="1"/>
      <c r="F35" s="41"/>
      <c r="G35" s="41"/>
      <c r="H35" s="41"/>
      <c r="K35" s="15"/>
    </row>
    <row r="36" spans="1:11" x14ac:dyDescent="0.45">
      <c r="A36" s="1"/>
      <c r="F36" s="41"/>
      <c r="G36" s="41"/>
      <c r="H36" s="41"/>
      <c r="K36" s="15"/>
    </row>
    <row r="37" spans="1:11" x14ac:dyDescent="0.45">
      <c r="A37" s="1"/>
      <c r="F37" s="41"/>
      <c r="G37" s="41"/>
      <c r="H37" s="41"/>
      <c r="K37" s="15"/>
    </row>
    <row r="38" spans="1:11" x14ac:dyDescent="0.45">
      <c r="A38" s="1"/>
      <c r="F38" s="41"/>
      <c r="G38" s="41"/>
      <c r="H38" s="41"/>
      <c r="K38" s="15"/>
    </row>
    <row r="39" spans="1:11" x14ac:dyDescent="0.45">
      <c r="A39" s="1"/>
      <c r="F39" s="41"/>
      <c r="G39" s="41"/>
      <c r="H39" s="41"/>
      <c r="K39" s="15"/>
    </row>
    <row r="40" spans="1:11" x14ac:dyDescent="0.45">
      <c r="A40" s="1"/>
      <c r="F40" s="41"/>
      <c r="G40" s="41"/>
      <c r="H40" s="41"/>
      <c r="K40" s="15"/>
    </row>
    <row r="41" spans="1:11" x14ac:dyDescent="0.45">
      <c r="A41" s="1"/>
      <c r="F41" s="41"/>
      <c r="G41" s="41"/>
      <c r="H41" s="41"/>
      <c r="K41" s="15"/>
    </row>
    <row r="42" spans="1:11" x14ac:dyDescent="0.45">
      <c r="A42" s="1"/>
      <c r="F42" s="41"/>
      <c r="G42" s="41"/>
      <c r="H42" s="41"/>
      <c r="K42" s="15"/>
    </row>
    <row r="43" spans="1:11" x14ac:dyDescent="0.45">
      <c r="A43" s="1"/>
      <c r="F43" s="41"/>
      <c r="G43" s="41"/>
      <c r="H43" s="41"/>
      <c r="K43" s="15"/>
    </row>
    <row r="44" spans="1:11" x14ac:dyDescent="0.45">
      <c r="A44" s="1"/>
      <c r="F44" s="41"/>
      <c r="G44" s="41"/>
      <c r="H44" s="41"/>
      <c r="K44" s="15"/>
    </row>
    <row r="45" spans="1:11" x14ac:dyDescent="0.45">
      <c r="A45" s="1"/>
      <c r="F45" s="41"/>
      <c r="G45" s="41"/>
      <c r="H45" s="41"/>
      <c r="K45" s="15"/>
    </row>
    <row r="46" spans="1:11" x14ac:dyDescent="0.45">
      <c r="A46" s="1"/>
      <c r="F46" s="41"/>
      <c r="G46" s="41"/>
      <c r="H46" s="41"/>
      <c r="K46" s="15"/>
    </row>
    <row r="47" spans="1:11" x14ac:dyDescent="0.45">
      <c r="A47" s="1"/>
      <c r="F47" s="41"/>
      <c r="G47" s="41"/>
      <c r="H47" s="41"/>
      <c r="K47" s="15"/>
    </row>
    <row r="48" spans="1:11" x14ac:dyDescent="0.45">
      <c r="A48" s="1"/>
      <c r="F48" s="41"/>
      <c r="G48" s="41"/>
      <c r="H48" s="41"/>
      <c r="K48" s="15"/>
    </row>
    <row r="49" spans="1:11" x14ac:dyDescent="0.45">
      <c r="A49" s="1"/>
    </row>
    <row r="50" spans="1:11" x14ac:dyDescent="0.45">
      <c r="A50" s="1"/>
    </row>
    <row r="51" spans="1:11" x14ac:dyDescent="0.45">
      <c r="A51" s="1"/>
    </row>
    <row r="52" spans="1:11" x14ac:dyDescent="0.45">
      <c r="A52" s="1"/>
    </row>
    <row r="53" spans="1:11" x14ac:dyDescent="0.45">
      <c r="A53" s="1"/>
    </row>
    <row r="54" spans="1:11" x14ac:dyDescent="0.45">
      <c r="A54" s="1"/>
    </row>
    <row r="55" spans="1:11" x14ac:dyDescent="0.45">
      <c r="A55" s="1"/>
    </row>
    <row r="56" spans="1:11" s="1" customFormat="1" x14ac:dyDescent="0.45">
      <c r="F56"/>
      <c r="G56"/>
      <c r="H56"/>
      <c r="K56" s="2"/>
    </row>
    <row r="57" spans="1:11" s="1" customFormat="1" x14ac:dyDescent="0.45">
      <c r="F57"/>
      <c r="G57"/>
      <c r="H57"/>
      <c r="K57" s="2"/>
    </row>
    <row r="58" spans="1:11" s="1" customFormat="1" x14ac:dyDescent="0.45">
      <c r="F58"/>
      <c r="G58"/>
      <c r="H58"/>
      <c r="K58" s="2"/>
    </row>
    <row r="59" spans="1:11" s="1" customFormat="1" x14ac:dyDescent="0.45">
      <c r="F59"/>
      <c r="G59"/>
      <c r="H59"/>
      <c r="K59" s="2"/>
    </row>
    <row r="60" spans="1:11" s="1" customFormat="1" x14ac:dyDescent="0.45">
      <c r="F60"/>
      <c r="G60"/>
      <c r="H60"/>
      <c r="K60" s="2"/>
    </row>
    <row r="61" spans="1:11" s="1" customFormat="1" x14ac:dyDescent="0.45">
      <c r="F61"/>
      <c r="G61"/>
      <c r="H61"/>
      <c r="K61" s="2"/>
    </row>
    <row r="62" spans="1:11" s="1" customFormat="1" x14ac:dyDescent="0.45">
      <c r="F62"/>
      <c r="G62"/>
      <c r="H62"/>
      <c r="K62" s="2"/>
    </row>
    <row r="63" spans="1:11" s="1" customFormat="1" x14ac:dyDescent="0.45">
      <c r="F63"/>
      <c r="G63"/>
      <c r="H63"/>
      <c r="K63" s="2"/>
    </row>
    <row r="64" spans="1:11" s="1" customFormat="1" x14ac:dyDescent="0.45">
      <c r="F64"/>
      <c r="G64"/>
      <c r="H64"/>
      <c r="K64" s="2"/>
    </row>
    <row r="65" spans="6:11" s="1" customFormat="1" x14ac:dyDescent="0.45">
      <c r="F65"/>
      <c r="G65"/>
      <c r="H65"/>
      <c r="K65" s="2"/>
    </row>
    <row r="66" spans="6:11" s="1" customFormat="1" x14ac:dyDescent="0.45">
      <c r="F66"/>
      <c r="G66"/>
      <c r="H66"/>
      <c r="K66" s="2"/>
    </row>
    <row r="67" spans="6:11" s="1" customFormat="1" x14ac:dyDescent="0.45">
      <c r="F67"/>
      <c r="G67"/>
      <c r="H67"/>
      <c r="K67" s="2"/>
    </row>
    <row r="68" spans="6:11" s="1" customFormat="1" x14ac:dyDescent="0.45">
      <c r="F68"/>
      <c r="G68"/>
      <c r="H68"/>
      <c r="K68" s="2"/>
    </row>
    <row r="69" spans="6:11" s="1" customFormat="1" x14ac:dyDescent="0.45">
      <c r="F69"/>
      <c r="G69"/>
      <c r="H69"/>
      <c r="K69" s="2"/>
    </row>
    <row r="70" spans="6:11" s="1" customFormat="1" x14ac:dyDescent="0.45">
      <c r="F70"/>
      <c r="G70"/>
      <c r="H70"/>
      <c r="K70" s="2"/>
    </row>
    <row r="71" spans="6:11" s="1" customFormat="1" x14ac:dyDescent="0.45">
      <c r="F71"/>
      <c r="G71"/>
      <c r="H71"/>
      <c r="K71" s="2"/>
    </row>
    <row r="72" spans="6:11" s="1" customFormat="1" x14ac:dyDescent="0.45">
      <c r="F72"/>
      <c r="G72"/>
      <c r="H72"/>
      <c r="K72" s="2"/>
    </row>
    <row r="73" spans="6:11" s="1" customFormat="1" x14ac:dyDescent="0.45">
      <c r="F73"/>
      <c r="G73"/>
      <c r="H73"/>
      <c r="K73" s="2"/>
    </row>
    <row r="74" spans="6:11" s="1" customFormat="1" x14ac:dyDescent="0.45">
      <c r="F74"/>
      <c r="G74"/>
      <c r="H74"/>
      <c r="K74" s="2"/>
    </row>
    <row r="75" spans="6:11" s="1" customFormat="1" x14ac:dyDescent="0.45">
      <c r="F75"/>
      <c r="G75"/>
      <c r="H75"/>
      <c r="K75" s="2"/>
    </row>
    <row r="76" spans="6:11" s="1" customFormat="1" x14ac:dyDescent="0.45">
      <c r="F76"/>
      <c r="G76"/>
      <c r="H76"/>
      <c r="K76" s="2"/>
    </row>
    <row r="77" spans="6:11" s="1" customFormat="1" x14ac:dyDescent="0.45">
      <c r="F77"/>
      <c r="G77"/>
      <c r="H77"/>
      <c r="K77" s="2"/>
    </row>
    <row r="78" spans="6:11" s="1" customFormat="1" x14ac:dyDescent="0.45">
      <c r="F78"/>
      <c r="G78"/>
      <c r="H78"/>
      <c r="K78" s="2"/>
    </row>
    <row r="79" spans="6:11" s="1" customFormat="1" x14ac:dyDescent="0.45">
      <c r="F79"/>
      <c r="G79"/>
      <c r="H79"/>
      <c r="K79" s="2"/>
    </row>
    <row r="80" spans="6:11" s="1" customFormat="1" x14ac:dyDescent="0.45">
      <c r="F80"/>
      <c r="G80"/>
      <c r="H80"/>
      <c r="K80" s="2"/>
    </row>
    <row r="81" spans="6:11" s="1" customFormat="1" x14ac:dyDescent="0.45">
      <c r="F81"/>
      <c r="G81"/>
      <c r="H81"/>
      <c r="K81" s="2"/>
    </row>
    <row r="82" spans="6:11" s="1" customFormat="1" x14ac:dyDescent="0.45">
      <c r="F82"/>
      <c r="G82"/>
      <c r="H82"/>
      <c r="K82" s="2"/>
    </row>
    <row r="83" spans="6:11" s="1" customFormat="1" x14ac:dyDescent="0.45">
      <c r="F83"/>
      <c r="G83"/>
      <c r="H83"/>
      <c r="K83" s="2"/>
    </row>
    <row r="84" spans="6:11" s="1" customFormat="1" x14ac:dyDescent="0.45">
      <c r="F84"/>
      <c r="G84"/>
      <c r="H84"/>
      <c r="K84" s="2"/>
    </row>
    <row r="85" spans="6:11" s="1" customFormat="1" x14ac:dyDescent="0.45">
      <c r="F85"/>
      <c r="G85"/>
      <c r="H85"/>
      <c r="K85" s="2"/>
    </row>
    <row r="86" spans="6:11" s="1" customFormat="1" x14ac:dyDescent="0.45">
      <c r="F86"/>
      <c r="G86"/>
      <c r="H86"/>
      <c r="K86" s="2"/>
    </row>
    <row r="87" spans="6:11" s="1" customFormat="1" x14ac:dyDescent="0.45">
      <c r="F87"/>
      <c r="G87"/>
      <c r="H87"/>
      <c r="K87" s="2"/>
    </row>
    <row r="88" spans="6:11" s="1" customFormat="1" x14ac:dyDescent="0.45">
      <c r="F88"/>
      <c r="G88"/>
      <c r="H88"/>
      <c r="K88" s="2"/>
    </row>
    <row r="89" spans="6:11" s="1" customFormat="1" x14ac:dyDescent="0.45">
      <c r="F89"/>
      <c r="G89"/>
      <c r="H89"/>
      <c r="K89" s="2"/>
    </row>
    <row r="90" spans="6:11" s="1" customFormat="1" x14ac:dyDescent="0.45">
      <c r="F90"/>
      <c r="G90"/>
      <c r="H90"/>
      <c r="K90" s="2"/>
    </row>
    <row r="91" spans="6:11" s="1" customFormat="1" x14ac:dyDescent="0.45">
      <c r="F91"/>
      <c r="G91"/>
      <c r="H91"/>
      <c r="K91" s="2"/>
    </row>
    <row r="92" spans="6:11" s="1" customFormat="1" x14ac:dyDescent="0.45">
      <c r="F92"/>
      <c r="G92"/>
      <c r="H92"/>
      <c r="K92" s="2"/>
    </row>
    <row r="93" spans="6:11" s="1" customFormat="1" x14ac:dyDescent="0.45">
      <c r="F93"/>
      <c r="G93"/>
      <c r="H93"/>
      <c r="K93" s="2"/>
    </row>
    <row r="94" spans="6:11" s="1" customFormat="1" x14ac:dyDescent="0.45">
      <c r="F94"/>
      <c r="G94"/>
      <c r="H94"/>
      <c r="K94" s="2"/>
    </row>
    <row r="95" spans="6:11" s="1" customFormat="1" x14ac:dyDescent="0.45">
      <c r="F95"/>
      <c r="G95"/>
      <c r="H95"/>
      <c r="K95" s="2"/>
    </row>
    <row r="96" spans="6:11" s="1" customFormat="1" x14ac:dyDescent="0.45">
      <c r="F96"/>
      <c r="G96"/>
      <c r="H96"/>
      <c r="K96" s="2"/>
    </row>
    <row r="97" spans="6:11" s="1" customFormat="1" x14ac:dyDescent="0.45">
      <c r="F97"/>
      <c r="G97"/>
      <c r="H97"/>
      <c r="K97" s="2"/>
    </row>
    <row r="98" spans="6:11" s="1" customFormat="1" x14ac:dyDescent="0.45">
      <c r="F98"/>
      <c r="G98"/>
      <c r="H98"/>
      <c r="K98" s="2"/>
    </row>
    <row r="99" spans="6:11" s="1" customFormat="1" x14ac:dyDescent="0.45">
      <c r="F99"/>
      <c r="G99"/>
      <c r="H99"/>
      <c r="K99" s="2"/>
    </row>
    <row r="100" spans="6:11" s="1" customFormat="1" x14ac:dyDescent="0.45">
      <c r="F100"/>
      <c r="G100"/>
      <c r="H100"/>
      <c r="K100" s="2"/>
    </row>
    <row r="101" spans="6:11" s="1" customFormat="1" x14ac:dyDescent="0.45">
      <c r="F101"/>
      <c r="G101"/>
      <c r="H101"/>
      <c r="K101" s="2"/>
    </row>
    <row r="102" spans="6:11" s="1" customFormat="1" x14ac:dyDescent="0.45">
      <c r="F102"/>
      <c r="G102"/>
      <c r="H102"/>
      <c r="K102" s="2"/>
    </row>
    <row r="103" spans="6:11" s="1" customFormat="1" x14ac:dyDescent="0.45">
      <c r="F103"/>
      <c r="G103"/>
      <c r="H103"/>
      <c r="K103" s="2"/>
    </row>
    <row r="104" spans="6:11" s="1" customFormat="1" x14ac:dyDescent="0.45">
      <c r="F104"/>
      <c r="G104"/>
      <c r="H104"/>
      <c r="K104" s="2"/>
    </row>
    <row r="105" spans="6:11" s="1" customFormat="1" x14ac:dyDescent="0.45">
      <c r="F105"/>
      <c r="G105"/>
      <c r="H105"/>
      <c r="K105" s="2"/>
    </row>
    <row r="106" spans="6:11" s="1" customFormat="1" x14ac:dyDescent="0.45">
      <c r="F106"/>
      <c r="G106"/>
      <c r="H106"/>
      <c r="K106" s="2"/>
    </row>
    <row r="107" spans="6:11" s="1" customFormat="1" x14ac:dyDescent="0.45">
      <c r="F107"/>
      <c r="G107"/>
      <c r="H107"/>
      <c r="K107" s="2"/>
    </row>
    <row r="108" spans="6:11" s="1" customFormat="1" x14ac:dyDescent="0.45">
      <c r="F108"/>
      <c r="G108"/>
      <c r="H108"/>
      <c r="K108" s="2"/>
    </row>
    <row r="109" spans="6:11" s="1" customFormat="1" x14ac:dyDescent="0.45">
      <c r="F109"/>
      <c r="G109"/>
      <c r="H109"/>
      <c r="K109" s="2"/>
    </row>
    <row r="110" spans="6:11" s="1" customFormat="1" x14ac:dyDescent="0.45">
      <c r="F110"/>
      <c r="G110"/>
      <c r="H110"/>
      <c r="K110" s="2"/>
    </row>
    <row r="111" spans="6:11" s="1" customFormat="1" x14ac:dyDescent="0.45">
      <c r="F111"/>
      <c r="G111"/>
      <c r="H111"/>
      <c r="K111" s="2"/>
    </row>
    <row r="112" spans="6:11" s="1" customFormat="1" x14ac:dyDescent="0.45">
      <c r="F112"/>
      <c r="G112"/>
      <c r="H112"/>
      <c r="K112" s="2"/>
    </row>
    <row r="113" spans="6:11" s="1" customFormat="1" x14ac:dyDescent="0.45">
      <c r="F113"/>
      <c r="G113"/>
      <c r="H113"/>
      <c r="K113" s="2"/>
    </row>
    <row r="114" spans="6:11" s="1" customFormat="1" x14ac:dyDescent="0.45">
      <c r="F114"/>
      <c r="G114"/>
      <c r="H114"/>
      <c r="K114" s="2"/>
    </row>
    <row r="115" spans="6:11" s="1" customFormat="1" x14ac:dyDescent="0.45">
      <c r="F115"/>
      <c r="G115"/>
      <c r="H115"/>
      <c r="K115" s="2"/>
    </row>
    <row r="116" spans="6:11" s="1" customFormat="1" x14ac:dyDescent="0.45">
      <c r="F116"/>
      <c r="G116"/>
      <c r="H116"/>
      <c r="K116" s="2"/>
    </row>
    <row r="117" spans="6:11" s="1" customFormat="1" x14ac:dyDescent="0.45">
      <c r="F117"/>
      <c r="G117"/>
      <c r="H117"/>
      <c r="K117" s="2"/>
    </row>
    <row r="118" spans="6:11" s="1" customFormat="1" x14ac:dyDescent="0.45">
      <c r="F118"/>
      <c r="G118"/>
      <c r="H118"/>
      <c r="K118" s="2"/>
    </row>
    <row r="119" spans="6:11" s="1" customFormat="1" x14ac:dyDescent="0.45">
      <c r="F119"/>
      <c r="G119"/>
      <c r="H119"/>
      <c r="K119" s="2"/>
    </row>
    <row r="120" spans="6:11" s="1" customFormat="1" x14ac:dyDescent="0.45">
      <c r="F120"/>
      <c r="G120"/>
      <c r="H120"/>
      <c r="K120" s="2"/>
    </row>
    <row r="121" spans="6:11" s="1" customFormat="1" x14ac:dyDescent="0.45">
      <c r="F121"/>
      <c r="G121"/>
      <c r="H121"/>
      <c r="K121" s="2"/>
    </row>
    <row r="122" spans="6:11" s="1" customFormat="1" x14ac:dyDescent="0.45">
      <c r="F122"/>
      <c r="G122"/>
      <c r="H122"/>
      <c r="K122" s="2"/>
    </row>
    <row r="123" spans="6:11" s="1" customFormat="1" x14ac:dyDescent="0.45">
      <c r="F123"/>
      <c r="G123"/>
      <c r="H123"/>
      <c r="K123" s="2"/>
    </row>
    <row r="124" spans="6:11" s="1" customFormat="1" x14ac:dyDescent="0.45">
      <c r="F124"/>
      <c r="G124"/>
      <c r="H124"/>
      <c r="K124" s="2"/>
    </row>
    <row r="125" spans="6:11" s="1" customFormat="1" x14ac:dyDescent="0.45">
      <c r="F125"/>
      <c r="G125"/>
      <c r="H125"/>
      <c r="K125" s="2"/>
    </row>
    <row r="126" spans="6:11" s="1" customFormat="1" x14ac:dyDescent="0.45">
      <c r="F126"/>
      <c r="G126"/>
      <c r="H126"/>
      <c r="K126" s="2"/>
    </row>
    <row r="127" spans="6:11" s="1" customFormat="1" x14ac:dyDescent="0.45">
      <c r="F127"/>
      <c r="G127"/>
      <c r="H127"/>
      <c r="K127" s="2"/>
    </row>
    <row r="128" spans="6:11" s="1" customFormat="1" x14ac:dyDescent="0.45">
      <c r="F128"/>
      <c r="G128"/>
      <c r="H128"/>
      <c r="K128" s="2"/>
    </row>
    <row r="129" spans="6:11" s="1" customFormat="1" x14ac:dyDescent="0.45">
      <c r="F129"/>
      <c r="G129"/>
      <c r="H129"/>
      <c r="K129" s="2"/>
    </row>
    <row r="130" spans="6:11" s="1" customFormat="1" x14ac:dyDescent="0.45">
      <c r="F130"/>
      <c r="G130"/>
      <c r="H130"/>
      <c r="K130" s="2"/>
    </row>
    <row r="131" spans="6:11" s="1" customFormat="1" x14ac:dyDescent="0.45">
      <c r="F131"/>
      <c r="G131"/>
      <c r="H131"/>
      <c r="K131" s="2"/>
    </row>
    <row r="132" spans="6:11" s="1" customFormat="1" x14ac:dyDescent="0.45">
      <c r="F132"/>
      <c r="G132"/>
      <c r="H132"/>
      <c r="K132" s="2"/>
    </row>
    <row r="133" spans="6:11" s="1" customFormat="1" x14ac:dyDescent="0.45">
      <c r="F133"/>
      <c r="G133"/>
      <c r="H133"/>
      <c r="K133" s="2"/>
    </row>
    <row r="134" spans="6:11" s="1" customFormat="1" x14ac:dyDescent="0.45">
      <c r="F134"/>
      <c r="G134"/>
      <c r="H134"/>
      <c r="K134" s="2"/>
    </row>
    <row r="135" spans="6:11" s="1" customFormat="1" x14ac:dyDescent="0.45">
      <c r="F135"/>
      <c r="G135"/>
      <c r="H135"/>
      <c r="K135" s="2"/>
    </row>
    <row r="136" spans="6:11" s="1" customFormat="1" x14ac:dyDescent="0.45">
      <c r="F136"/>
      <c r="G136"/>
      <c r="H136"/>
      <c r="K136" s="2"/>
    </row>
    <row r="137" spans="6:11" s="1" customFormat="1" x14ac:dyDescent="0.45">
      <c r="F137"/>
      <c r="G137"/>
      <c r="H137"/>
      <c r="K137" s="2"/>
    </row>
    <row r="138" spans="6:11" s="1" customFormat="1" x14ac:dyDescent="0.45">
      <c r="F138"/>
      <c r="G138"/>
      <c r="H138"/>
      <c r="K138" s="2"/>
    </row>
    <row r="139" spans="6:11" s="1" customFormat="1" x14ac:dyDescent="0.45">
      <c r="F139"/>
      <c r="G139"/>
      <c r="H139"/>
      <c r="K139" s="2"/>
    </row>
    <row r="140" spans="6:11" s="1" customFormat="1" x14ac:dyDescent="0.45">
      <c r="F140"/>
      <c r="G140"/>
      <c r="H140"/>
      <c r="K140" s="2"/>
    </row>
    <row r="141" spans="6:11" s="1" customFormat="1" x14ac:dyDescent="0.45">
      <c r="F141"/>
      <c r="G141"/>
      <c r="H141"/>
      <c r="K141" s="2"/>
    </row>
    <row r="142" spans="6:11" s="1" customFormat="1" x14ac:dyDescent="0.45">
      <c r="F142"/>
      <c r="G142"/>
      <c r="H142"/>
      <c r="K142" s="2"/>
    </row>
    <row r="143" spans="6:11" s="1" customFormat="1" x14ac:dyDescent="0.45">
      <c r="F143"/>
      <c r="G143"/>
      <c r="H143"/>
      <c r="K143" s="2"/>
    </row>
    <row r="144" spans="6:11" s="1" customFormat="1" x14ac:dyDescent="0.45">
      <c r="F144"/>
      <c r="G144"/>
      <c r="H144"/>
      <c r="K144" s="2"/>
    </row>
    <row r="145" spans="6:11" s="1" customFormat="1" x14ac:dyDescent="0.45">
      <c r="F145"/>
      <c r="G145"/>
      <c r="H145"/>
      <c r="K145" s="2"/>
    </row>
    <row r="146" spans="6:11" s="1" customFormat="1" x14ac:dyDescent="0.45">
      <c r="F146"/>
      <c r="G146"/>
      <c r="H146"/>
      <c r="K146" s="2"/>
    </row>
    <row r="147" spans="6:11" s="1" customFormat="1" x14ac:dyDescent="0.45">
      <c r="F147"/>
      <c r="G147"/>
      <c r="H147"/>
      <c r="K147" s="2"/>
    </row>
    <row r="148" spans="6:11" s="1" customFormat="1" x14ac:dyDescent="0.45">
      <c r="F148"/>
      <c r="G148"/>
      <c r="H148"/>
      <c r="K148" s="2"/>
    </row>
    <row r="149" spans="6:11" s="1" customFormat="1" x14ac:dyDescent="0.45">
      <c r="F149"/>
      <c r="G149"/>
      <c r="H149"/>
      <c r="K149" s="2"/>
    </row>
    <row r="150" spans="6:11" s="1" customFormat="1" x14ac:dyDescent="0.45">
      <c r="F150"/>
      <c r="G150"/>
      <c r="H150"/>
      <c r="K150" s="2"/>
    </row>
    <row r="151" spans="6:11" s="1" customFormat="1" x14ac:dyDescent="0.45">
      <c r="F151"/>
      <c r="G151"/>
      <c r="H151"/>
      <c r="K151" s="2"/>
    </row>
    <row r="152" spans="6:11" s="1" customFormat="1" x14ac:dyDescent="0.45">
      <c r="F152"/>
      <c r="G152"/>
      <c r="H152"/>
      <c r="K152" s="2"/>
    </row>
    <row r="153" spans="6:11" s="1" customFormat="1" x14ac:dyDescent="0.45">
      <c r="F153"/>
      <c r="G153"/>
      <c r="H153"/>
      <c r="K153" s="2"/>
    </row>
    <row r="154" spans="6:11" s="1" customFormat="1" x14ac:dyDescent="0.45">
      <c r="F154"/>
      <c r="G154"/>
      <c r="H154"/>
      <c r="K154" s="2"/>
    </row>
    <row r="155" spans="6:11" s="1" customFormat="1" x14ac:dyDescent="0.45">
      <c r="F155"/>
      <c r="G155"/>
      <c r="H155"/>
      <c r="K155" s="2"/>
    </row>
    <row r="156" spans="6:11" s="1" customFormat="1" x14ac:dyDescent="0.45">
      <c r="F156"/>
      <c r="G156"/>
      <c r="H156"/>
      <c r="K156" s="2"/>
    </row>
    <row r="157" spans="6:11" s="1" customFormat="1" x14ac:dyDescent="0.45">
      <c r="F157"/>
      <c r="G157"/>
      <c r="H157"/>
      <c r="K157" s="2"/>
    </row>
    <row r="158" spans="6:11" s="1" customFormat="1" x14ac:dyDescent="0.45">
      <c r="F158"/>
      <c r="G158"/>
      <c r="H158"/>
      <c r="K158" s="2"/>
    </row>
    <row r="159" spans="6:11" s="1" customFormat="1" x14ac:dyDescent="0.45">
      <c r="F159"/>
      <c r="G159"/>
      <c r="H159"/>
      <c r="K159" s="2"/>
    </row>
    <row r="160" spans="6:11" s="1" customFormat="1" x14ac:dyDescent="0.45">
      <c r="F160"/>
      <c r="G160"/>
      <c r="H160"/>
      <c r="K160" s="2"/>
    </row>
    <row r="161" spans="6:11" s="1" customFormat="1" x14ac:dyDescent="0.45">
      <c r="F161"/>
      <c r="G161"/>
      <c r="H161"/>
      <c r="K161" s="2"/>
    </row>
    <row r="162" spans="6:11" s="1" customFormat="1" x14ac:dyDescent="0.45">
      <c r="F162"/>
      <c r="G162"/>
      <c r="H162"/>
      <c r="K162" s="2"/>
    </row>
    <row r="163" spans="6:11" s="1" customFormat="1" x14ac:dyDescent="0.45">
      <c r="F163"/>
      <c r="G163"/>
      <c r="H163"/>
      <c r="K163" s="2"/>
    </row>
    <row r="164" spans="6:11" s="1" customFormat="1" x14ac:dyDescent="0.45">
      <c r="F164"/>
      <c r="G164"/>
      <c r="H164"/>
      <c r="K164" s="2"/>
    </row>
    <row r="165" spans="6:11" s="1" customFormat="1" x14ac:dyDescent="0.45">
      <c r="F165"/>
      <c r="G165"/>
      <c r="H165"/>
      <c r="K165" s="2"/>
    </row>
    <row r="166" spans="6:11" s="1" customFormat="1" x14ac:dyDescent="0.45">
      <c r="F166"/>
      <c r="G166"/>
      <c r="H166"/>
      <c r="K166" s="2"/>
    </row>
    <row r="167" spans="6:11" s="1" customFormat="1" x14ac:dyDescent="0.45">
      <c r="F167"/>
      <c r="G167"/>
      <c r="H167"/>
      <c r="K167" s="2"/>
    </row>
    <row r="168" spans="6:11" s="1" customFormat="1" x14ac:dyDescent="0.45">
      <c r="F168"/>
      <c r="G168"/>
      <c r="H168"/>
      <c r="K168" s="2"/>
    </row>
    <row r="169" spans="6:11" s="1" customFormat="1" x14ac:dyDescent="0.45">
      <c r="F169"/>
      <c r="G169"/>
      <c r="H169"/>
      <c r="K169" s="2"/>
    </row>
    <row r="170" spans="6:11" s="1" customFormat="1" x14ac:dyDescent="0.45">
      <c r="F170"/>
      <c r="G170"/>
      <c r="H170"/>
      <c r="K170" s="2"/>
    </row>
    <row r="171" spans="6:11" s="1" customFormat="1" x14ac:dyDescent="0.45">
      <c r="F171"/>
      <c r="G171"/>
      <c r="H171"/>
      <c r="K171" s="2"/>
    </row>
    <row r="172" spans="6:11" s="1" customFormat="1" x14ac:dyDescent="0.45">
      <c r="F172"/>
      <c r="G172"/>
      <c r="H172"/>
      <c r="K172" s="2"/>
    </row>
    <row r="173" spans="6:11" s="1" customFormat="1" x14ac:dyDescent="0.45">
      <c r="F173"/>
      <c r="G173"/>
      <c r="H173"/>
      <c r="K173" s="2"/>
    </row>
    <row r="174" spans="6:11" s="1" customFormat="1" x14ac:dyDescent="0.45">
      <c r="F174"/>
      <c r="G174"/>
      <c r="H174"/>
      <c r="K174" s="2"/>
    </row>
    <row r="175" spans="6:11" s="1" customFormat="1" x14ac:dyDescent="0.45">
      <c r="F175"/>
      <c r="G175"/>
      <c r="H175"/>
      <c r="K175" s="2"/>
    </row>
    <row r="176" spans="6:11" s="1" customFormat="1" x14ac:dyDescent="0.45">
      <c r="F176"/>
      <c r="G176"/>
      <c r="H176"/>
      <c r="K176" s="2"/>
    </row>
    <row r="177" spans="6:11" s="1" customFormat="1" x14ac:dyDescent="0.45">
      <c r="F177"/>
      <c r="G177"/>
      <c r="H177"/>
      <c r="K177" s="2"/>
    </row>
    <row r="178" spans="6:11" s="1" customFormat="1" x14ac:dyDescent="0.45">
      <c r="F178"/>
      <c r="G178"/>
      <c r="H178"/>
      <c r="K178" s="2"/>
    </row>
    <row r="179" spans="6:11" s="1" customFormat="1" x14ac:dyDescent="0.45">
      <c r="F179"/>
      <c r="G179"/>
      <c r="H179"/>
      <c r="K179" s="2"/>
    </row>
    <row r="180" spans="6:11" s="1" customFormat="1" x14ac:dyDescent="0.45">
      <c r="F180"/>
      <c r="G180"/>
      <c r="H180"/>
      <c r="K180" s="2"/>
    </row>
    <row r="181" spans="6:11" s="1" customFormat="1" x14ac:dyDescent="0.45">
      <c r="F181"/>
      <c r="G181"/>
      <c r="H181"/>
      <c r="K181" s="2"/>
    </row>
    <row r="182" spans="6:11" s="1" customFormat="1" x14ac:dyDescent="0.45">
      <c r="F182"/>
      <c r="G182"/>
      <c r="H182"/>
      <c r="K182" s="2"/>
    </row>
    <row r="183" spans="6:11" s="1" customFormat="1" x14ac:dyDescent="0.45">
      <c r="F183"/>
      <c r="G183"/>
      <c r="H183"/>
      <c r="K183" s="2"/>
    </row>
    <row r="184" spans="6:11" s="1" customFormat="1" x14ac:dyDescent="0.45">
      <c r="F184"/>
      <c r="G184"/>
      <c r="H184"/>
      <c r="K184" s="2"/>
    </row>
    <row r="185" spans="6:11" s="1" customFormat="1" x14ac:dyDescent="0.45">
      <c r="F185"/>
      <c r="G185"/>
      <c r="H185"/>
      <c r="K185" s="2"/>
    </row>
    <row r="186" spans="6:11" s="1" customFormat="1" x14ac:dyDescent="0.45">
      <c r="F186"/>
      <c r="G186"/>
      <c r="H186"/>
      <c r="K186" s="2"/>
    </row>
    <row r="187" spans="6:11" s="1" customFormat="1" x14ac:dyDescent="0.45">
      <c r="F187"/>
      <c r="G187"/>
      <c r="H187"/>
      <c r="K187" s="2"/>
    </row>
    <row r="188" spans="6:11" s="1" customFormat="1" x14ac:dyDescent="0.45">
      <c r="F188"/>
      <c r="G188"/>
      <c r="H188"/>
      <c r="K188" s="2"/>
    </row>
    <row r="189" spans="6:11" s="1" customFormat="1" x14ac:dyDescent="0.45">
      <c r="F189"/>
      <c r="G189"/>
      <c r="H189"/>
      <c r="K189" s="2"/>
    </row>
    <row r="190" spans="6:11" s="1" customFormat="1" x14ac:dyDescent="0.45">
      <c r="F190"/>
      <c r="G190"/>
      <c r="H190"/>
      <c r="K190" s="2"/>
    </row>
    <row r="191" spans="6:11" s="1" customFormat="1" x14ac:dyDescent="0.45">
      <c r="F191"/>
      <c r="G191"/>
      <c r="H191"/>
      <c r="K191" s="2"/>
    </row>
    <row r="192" spans="6:11" s="1" customFormat="1" x14ac:dyDescent="0.45">
      <c r="F192"/>
      <c r="G192"/>
      <c r="H192"/>
      <c r="K192" s="2"/>
    </row>
    <row r="193" spans="6:11" s="1" customFormat="1" x14ac:dyDescent="0.45">
      <c r="F193"/>
      <c r="G193"/>
      <c r="H193"/>
      <c r="K193" s="2"/>
    </row>
    <row r="194" spans="6:11" s="1" customFormat="1" x14ac:dyDescent="0.45">
      <c r="F194"/>
      <c r="G194"/>
      <c r="H194"/>
      <c r="K194" s="2"/>
    </row>
    <row r="195" spans="6:11" s="1" customFormat="1" x14ac:dyDescent="0.45">
      <c r="F195"/>
      <c r="G195"/>
      <c r="H195"/>
      <c r="K195" s="2"/>
    </row>
    <row r="196" spans="6:11" s="1" customFormat="1" x14ac:dyDescent="0.45">
      <c r="F196"/>
      <c r="G196"/>
      <c r="H196"/>
      <c r="K196" s="2"/>
    </row>
    <row r="197" spans="6:11" s="1" customFormat="1" x14ac:dyDescent="0.45">
      <c r="F197"/>
      <c r="G197"/>
      <c r="H197"/>
      <c r="K197" s="2"/>
    </row>
    <row r="198" spans="6:11" s="1" customFormat="1" x14ac:dyDescent="0.45">
      <c r="F198"/>
      <c r="G198"/>
      <c r="H198"/>
      <c r="K198" s="2"/>
    </row>
    <row r="199" spans="6:11" s="1" customFormat="1" x14ac:dyDescent="0.45">
      <c r="F199"/>
      <c r="G199"/>
      <c r="H199"/>
      <c r="K199" s="2"/>
    </row>
    <row r="200" spans="6:11" s="1" customFormat="1" x14ac:dyDescent="0.45">
      <c r="F200"/>
      <c r="G200"/>
      <c r="H200"/>
      <c r="K200" s="2"/>
    </row>
    <row r="201" spans="6:11" s="1" customFormat="1" x14ac:dyDescent="0.45">
      <c r="F201"/>
      <c r="G201"/>
      <c r="H201"/>
      <c r="K201" s="2"/>
    </row>
    <row r="202" spans="6:11" s="1" customFormat="1" x14ac:dyDescent="0.45">
      <c r="F202"/>
      <c r="G202"/>
      <c r="H202"/>
      <c r="K202" s="2"/>
    </row>
    <row r="203" spans="6:11" s="1" customFormat="1" x14ac:dyDescent="0.45">
      <c r="F203"/>
      <c r="G203"/>
      <c r="H203"/>
      <c r="K203" s="2"/>
    </row>
    <row r="204" spans="6:11" s="1" customFormat="1" x14ac:dyDescent="0.45">
      <c r="F204"/>
      <c r="G204"/>
      <c r="H204"/>
      <c r="K204" s="2"/>
    </row>
    <row r="205" spans="6:11" s="1" customFormat="1" x14ac:dyDescent="0.45">
      <c r="F205"/>
      <c r="G205"/>
      <c r="H205"/>
      <c r="K205" s="2"/>
    </row>
    <row r="206" spans="6:11" s="1" customFormat="1" x14ac:dyDescent="0.45">
      <c r="F206"/>
      <c r="G206"/>
      <c r="H206"/>
      <c r="K206" s="2"/>
    </row>
    <row r="207" spans="6:11" s="1" customFormat="1" x14ac:dyDescent="0.45">
      <c r="F207"/>
      <c r="G207"/>
      <c r="H207"/>
      <c r="K207" s="2"/>
    </row>
    <row r="208" spans="6:11" s="1" customFormat="1" x14ac:dyDescent="0.45">
      <c r="F208"/>
      <c r="G208"/>
      <c r="H208"/>
      <c r="K208" s="2"/>
    </row>
    <row r="209" spans="6:11" s="1" customFormat="1" x14ac:dyDescent="0.45">
      <c r="F209"/>
      <c r="G209"/>
      <c r="H209"/>
      <c r="K209" s="2"/>
    </row>
    <row r="210" spans="6:11" s="1" customFormat="1" x14ac:dyDescent="0.45">
      <c r="F210"/>
      <c r="G210"/>
      <c r="H210"/>
      <c r="K210" s="2"/>
    </row>
    <row r="211" spans="6:11" s="1" customFormat="1" x14ac:dyDescent="0.45">
      <c r="F211"/>
      <c r="G211"/>
      <c r="H211"/>
      <c r="K211" s="2"/>
    </row>
    <row r="212" spans="6:11" s="1" customFormat="1" x14ac:dyDescent="0.45">
      <c r="F212"/>
      <c r="G212"/>
      <c r="H212"/>
      <c r="K212" s="2"/>
    </row>
    <row r="213" spans="6:11" s="1" customFormat="1" x14ac:dyDescent="0.45">
      <c r="F213"/>
      <c r="G213"/>
      <c r="H213"/>
      <c r="K213" s="2"/>
    </row>
    <row r="214" spans="6:11" s="1" customFormat="1" x14ac:dyDescent="0.45">
      <c r="F214"/>
      <c r="G214"/>
      <c r="H214"/>
      <c r="K214" s="2"/>
    </row>
    <row r="215" spans="6:11" s="1" customFormat="1" x14ac:dyDescent="0.45">
      <c r="F215"/>
      <c r="G215"/>
      <c r="H215"/>
      <c r="K215" s="2"/>
    </row>
    <row r="216" spans="6:11" s="1" customFormat="1" x14ac:dyDescent="0.45">
      <c r="F216"/>
      <c r="G216"/>
      <c r="H216"/>
      <c r="K216" s="2"/>
    </row>
    <row r="217" spans="6:11" s="1" customFormat="1" x14ac:dyDescent="0.45">
      <c r="F217"/>
      <c r="G217"/>
      <c r="H217"/>
      <c r="K217" s="2"/>
    </row>
    <row r="218" spans="6:11" s="1" customFormat="1" x14ac:dyDescent="0.45">
      <c r="F218"/>
      <c r="G218"/>
      <c r="H218"/>
      <c r="K218" s="2"/>
    </row>
    <row r="219" spans="6:11" s="1" customFormat="1" x14ac:dyDescent="0.45">
      <c r="F219"/>
      <c r="G219"/>
      <c r="H219"/>
      <c r="K219" s="2"/>
    </row>
    <row r="220" spans="6:11" s="1" customFormat="1" x14ac:dyDescent="0.45">
      <c r="F220"/>
      <c r="G220"/>
      <c r="H220"/>
      <c r="K220" s="2"/>
    </row>
    <row r="221" spans="6:11" s="1" customFormat="1" x14ac:dyDescent="0.45">
      <c r="F221"/>
      <c r="G221"/>
      <c r="H221"/>
      <c r="K221" s="2"/>
    </row>
    <row r="222" spans="6:11" s="1" customFormat="1" x14ac:dyDescent="0.45">
      <c r="F222"/>
      <c r="G222"/>
      <c r="H222"/>
      <c r="K222" s="2"/>
    </row>
    <row r="223" spans="6:11" s="1" customFormat="1" x14ac:dyDescent="0.45">
      <c r="F223"/>
      <c r="G223"/>
      <c r="H223"/>
      <c r="K223" s="2"/>
    </row>
    <row r="224" spans="6:11" s="1" customFormat="1" x14ac:dyDescent="0.45">
      <c r="F224"/>
      <c r="G224"/>
      <c r="H224"/>
      <c r="K224" s="2"/>
    </row>
    <row r="225" spans="6:11" s="1" customFormat="1" x14ac:dyDescent="0.45">
      <c r="F225"/>
      <c r="G225"/>
      <c r="H225"/>
      <c r="K225" s="2"/>
    </row>
    <row r="226" spans="6:11" s="1" customFormat="1" x14ac:dyDescent="0.45">
      <c r="F226"/>
      <c r="G226"/>
      <c r="H226"/>
      <c r="K226" s="2"/>
    </row>
    <row r="227" spans="6:11" s="1" customFormat="1" x14ac:dyDescent="0.45">
      <c r="F227"/>
      <c r="G227"/>
      <c r="H227"/>
      <c r="K227" s="2"/>
    </row>
    <row r="228" spans="6:11" s="1" customFormat="1" x14ac:dyDescent="0.45">
      <c r="F228"/>
      <c r="G228"/>
      <c r="H228"/>
      <c r="K228" s="2"/>
    </row>
    <row r="229" spans="6:11" s="1" customFormat="1" x14ac:dyDescent="0.45">
      <c r="F229"/>
      <c r="G229"/>
      <c r="H229"/>
      <c r="K229" s="2"/>
    </row>
    <row r="230" spans="6:11" s="1" customFormat="1" x14ac:dyDescent="0.45">
      <c r="F230"/>
      <c r="G230"/>
      <c r="H230"/>
      <c r="K230" s="2"/>
    </row>
    <row r="231" spans="6:11" s="1" customFormat="1" x14ac:dyDescent="0.45">
      <c r="F231"/>
      <c r="G231"/>
      <c r="H231"/>
      <c r="K231" s="2"/>
    </row>
    <row r="232" spans="6:11" s="1" customFormat="1" x14ac:dyDescent="0.45">
      <c r="F232"/>
      <c r="G232"/>
      <c r="H232"/>
      <c r="K232" s="2"/>
    </row>
    <row r="233" spans="6:11" s="1" customFormat="1" x14ac:dyDescent="0.45">
      <c r="F233"/>
      <c r="G233"/>
      <c r="H233"/>
      <c r="K233" s="2"/>
    </row>
    <row r="234" spans="6:11" s="1" customFormat="1" x14ac:dyDescent="0.45">
      <c r="F234"/>
      <c r="G234"/>
      <c r="H234"/>
      <c r="K234" s="2"/>
    </row>
    <row r="235" spans="6:11" s="1" customFormat="1" x14ac:dyDescent="0.45">
      <c r="F235"/>
      <c r="G235"/>
      <c r="H235"/>
      <c r="K235" s="2"/>
    </row>
    <row r="236" spans="6:11" s="1" customFormat="1" x14ac:dyDescent="0.45">
      <c r="F236"/>
      <c r="G236"/>
      <c r="H236"/>
      <c r="K236" s="2"/>
    </row>
    <row r="237" spans="6:11" s="1" customFormat="1" x14ac:dyDescent="0.45">
      <c r="F237"/>
      <c r="G237"/>
      <c r="H237"/>
      <c r="K237" s="2"/>
    </row>
    <row r="238" spans="6:11" s="1" customFormat="1" x14ac:dyDescent="0.45">
      <c r="F238"/>
      <c r="G238"/>
      <c r="H238"/>
      <c r="K238" s="2"/>
    </row>
    <row r="239" spans="6:11" s="1" customFormat="1" x14ac:dyDescent="0.45">
      <c r="F239"/>
      <c r="G239"/>
      <c r="H239"/>
      <c r="K239" s="2"/>
    </row>
    <row r="240" spans="6:11" s="1" customFormat="1" x14ac:dyDescent="0.45">
      <c r="F240"/>
      <c r="G240"/>
      <c r="H240"/>
      <c r="K240" s="2"/>
    </row>
    <row r="241" spans="6:11" s="1" customFormat="1" x14ac:dyDescent="0.45">
      <c r="F241"/>
      <c r="G241"/>
      <c r="H241"/>
      <c r="K241" s="2"/>
    </row>
    <row r="242" spans="6:11" s="1" customFormat="1" x14ac:dyDescent="0.45">
      <c r="F242"/>
      <c r="G242"/>
      <c r="H242"/>
      <c r="K242" s="2"/>
    </row>
    <row r="243" spans="6:11" s="1" customFormat="1" x14ac:dyDescent="0.45">
      <c r="F243"/>
      <c r="G243"/>
      <c r="H243"/>
      <c r="K243" s="2"/>
    </row>
    <row r="244" spans="6:11" s="1" customFormat="1" x14ac:dyDescent="0.45">
      <c r="F244"/>
      <c r="G244"/>
      <c r="H244"/>
      <c r="K244" s="2"/>
    </row>
    <row r="245" spans="6:11" s="1" customFormat="1" x14ac:dyDescent="0.45">
      <c r="F245"/>
      <c r="G245"/>
      <c r="H245"/>
      <c r="K245" s="2"/>
    </row>
    <row r="246" spans="6:11" s="1" customFormat="1" x14ac:dyDescent="0.45">
      <c r="F246"/>
      <c r="G246"/>
      <c r="H246"/>
      <c r="K246" s="2"/>
    </row>
    <row r="247" spans="6:11" s="1" customFormat="1" x14ac:dyDescent="0.45">
      <c r="F247"/>
      <c r="G247"/>
      <c r="H247"/>
      <c r="K247" s="2"/>
    </row>
    <row r="248" spans="6:11" s="1" customFormat="1" x14ac:dyDescent="0.45">
      <c r="F248"/>
      <c r="G248"/>
      <c r="H248"/>
      <c r="K248" s="2"/>
    </row>
    <row r="249" spans="6:11" s="1" customFormat="1" x14ac:dyDescent="0.45">
      <c r="F249"/>
      <c r="G249"/>
      <c r="H249"/>
      <c r="K249" s="2"/>
    </row>
    <row r="250" spans="6:11" s="1" customFormat="1" x14ac:dyDescent="0.45">
      <c r="F250"/>
      <c r="G250"/>
      <c r="H250"/>
      <c r="K250" s="2"/>
    </row>
    <row r="251" spans="6:11" s="1" customFormat="1" x14ac:dyDescent="0.45">
      <c r="F251"/>
      <c r="G251"/>
      <c r="H251"/>
      <c r="K251" s="2"/>
    </row>
    <row r="252" spans="6:11" s="1" customFormat="1" x14ac:dyDescent="0.45">
      <c r="F252"/>
      <c r="G252"/>
      <c r="H252"/>
      <c r="K252" s="2"/>
    </row>
    <row r="253" spans="6:11" s="1" customFormat="1" x14ac:dyDescent="0.45">
      <c r="F253"/>
      <c r="G253"/>
      <c r="H253"/>
      <c r="K253" s="2"/>
    </row>
    <row r="254" spans="6:11" s="1" customFormat="1" x14ac:dyDescent="0.45">
      <c r="F254"/>
      <c r="G254"/>
      <c r="H254"/>
      <c r="K254" s="2"/>
    </row>
    <row r="255" spans="6:11" s="1" customFormat="1" x14ac:dyDescent="0.45">
      <c r="F255"/>
      <c r="G255"/>
      <c r="H255"/>
      <c r="K255" s="2"/>
    </row>
    <row r="256" spans="6:11" s="1" customFormat="1" x14ac:dyDescent="0.45">
      <c r="F256"/>
      <c r="G256"/>
      <c r="H256"/>
      <c r="K256" s="2"/>
    </row>
    <row r="257" spans="6:11" s="1" customFormat="1" x14ac:dyDescent="0.45">
      <c r="F257"/>
      <c r="G257"/>
      <c r="H257"/>
      <c r="K257" s="2"/>
    </row>
    <row r="258" spans="6:11" s="1" customFormat="1" x14ac:dyDescent="0.45">
      <c r="F258"/>
      <c r="G258"/>
      <c r="H258"/>
      <c r="K258" s="2"/>
    </row>
    <row r="259" spans="6:11" s="1" customFormat="1" x14ac:dyDescent="0.45">
      <c r="F259"/>
      <c r="G259"/>
      <c r="H259"/>
      <c r="K259" s="2"/>
    </row>
    <row r="260" spans="6:11" s="1" customFormat="1" x14ac:dyDescent="0.45">
      <c r="F260"/>
      <c r="G260"/>
      <c r="H260"/>
      <c r="K260" s="2"/>
    </row>
    <row r="261" spans="6:11" s="1" customFormat="1" x14ac:dyDescent="0.45">
      <c r="F261"/>
      <c r="G261"/>
      <c r="H261"/>
      <c r="K261" s="2"/>
    </row>
    <row r="262" spans="6:11" s="1" customFormat="1" x14ac:dyDescent="0.45">
      <c r="F262"/>
      <c r="G262"/>
      <c r="H262"/>
      <c r="K262" s="2"/>
    </row>
    <row r="263" spans="6:11" s="1" customFormat="1" x14ac:dyDescent="0.45">
      <c r="F263"/>
      <c r="G263"/>
      <c r="H263"/>
      <c r="K263" s="2"/>
    </row>
    <row r="264" spans="6:11" s="1" customFormat="1" x14ac:dyDescent="0.45">
      <c r="F264"/>
      <c r="G264"/>
      <c r="H264"/>
      <c r="K264" s="2"/>
    </row>
    <row r="265" spans="6:11" s="1" customFormat="1" x14ac:dyDescent="0.45">
      <c r="F265"/>
      <c r="G265"/>
      <c r="H265"/>
      <c r="K265" s="2"/>
    </row>
    <row r="266" spans="6:11" s="1" customFormat="1" x14ac:dyDescent="0.45">
      <c r="F266"/>
      <c r="G266"/>
      <c r="H266"/>
      <c r="K266" s="2"/>
    </row>
    <row r="267" spans="6:11" s="1" customFormat="1" x14ac:dyDescent="0.45">
      <c r="F267"/>
      <c r="G267"/>
      <c r="H267"/>
      <c r="K267" s="2"/>
    </row>
    <row r="268" spans="6:11" s="1" customFormat="1" x14ac:dyDescent="0.45">
      <c r="F268"/>
      <c r="G268"/>
      <c r="H268"/>
      <c r="K268" s="2"/>
    </row>
    <row r="269" spans="6:11" s="1" customFormat="1" x14ac:dyDescent="0.45">
      <c r="F269"/>
      <c r="G269"/>
      <c r="H269"/>
      <c r="K269" s="2"/>
    </row>
    <row r="270" spans="6:11" s="1" customFormat="1" x14ac:dyDescent="0.45">
      <c r="F270"/>
      <c r="G270"/>
      <c r="H270"/>
      <c r="K270" s="2"/>
    </row>
    <row r="271" spans="6:11" s="1" customFormat="1" x14ac:dyDescent="0.45">
      <c r="F271"/>
      <c r="G271"/>
      <c r="H271"/>
      <c r="K271" s="2"/>
    </row>
    <row r="272" spans="6:11" s="1" customFormat="1" x14ac:dyDescent="0.45">
      <c r="F272"/>
      <c r="G272"/>
      <c r="H272"/>
      <c r="K272" s="2"/>
    </row>
    <row r="273" spans="6:11" s="1" customFormat="1" x14ac:dyDescent="0.45">
      <c r="F273"/>
      <c r="G273"/>
      <c r="H273"/>
      <c r="K273" s="2"/>
    </row>
    <row r="274" spans="6:11" s="1" customFormat="1" x14ac:dyDescent="0.45">
      <c r="F274"/>
      <c r="G274"/>
      <c r="H274"/>
      <c r="K274" s="2"/>
    </row>
    <row r="275" spans="6:11" s="1" customFormat="1" x14ac:dyDescent="0.45">
      <c r="F275"/>
      <c r="G275"/>
      <c r="H275"/>
      <c r="K275" s="2"/>
    </row>
    <row r="276" spans="6:11" s="1" customFormat="1" x14ac:dyDescent="0.45">
      <c r="F276"/>
      <c r="G276"/>
      <c r="H276"/>
      <c r="K276" s="2"/>
    </row>
    <row r="277" spans="6:11" s="1" customFormat="1" x14ac:dyDescent="0.45">
      <c r="F277"/>
      <c r="G277"/>
      <c r="H277"/>
      <c r="K277" s="2"/>
    </row>
    <row r="278" spans="6:11" s="1" customFormat="1" x14ac:dyDescent="0.45">
      <c r="F278"/>
      <c r="G278"/>
      <c r="H278"/>
      <c r="K278" s="2"/>
    </row>
    <row r="279" spans="6:11" s="1" customFormat="1" x14ac:dyDescent="0.45">
      <c r="F279"/>
      <c r="G279"/>
      <c r="H279"/>
      <c r="K279" s="2"/>
    </row>
    <row r="280" spans="6:11" s="1" customFormat="1" x14ac:dyDescent="0.45">
      <c r="F280"/>
      <c r="G280"/>
      <c r="H280"/>
      <c r="K280" s="2"/>
    </row>
    <row r="281" spans="6:11" s="1" customFormat="1" x14ac:dyDescent="0.45">
      <c r="F281"/>
      <c r="G281"/>
      <c r="H281"/>
      <c r="K281" s="2"/>
    </row>
    <row r="282" spans="6:11" s="1" customFormat="1" x14ac:dyDescent="0.45">
      <c r="F282"/>
      <c r="G282"/>
      <c r="H282"/>
      <c r="K282" s="2"/>
    </row>
    <row r="283" spans="6:11" s="1" customFormat="1" x14ac:dyDescent="0.45">
      <c r="F283"/>
      <c r="G283"/>
      <c r="H283"/>
      <c r="K283" s="2"/>
    </row>
    <row r="284" spans="6:11" s="1" customFormat="1" x14ac:dyDescent="0.45">
      <c r="F284"/>
      <c r="G284"/>
      <c r="H284"/>
      <c r="K284" s="2"/>
    </row>
    <row r="285" spans="6:11" s="1" customFormat="1" x14ac:dyDescent="0.45">
      <c r="F285"/>
      <c r="G285"/>
      <c r="H285"/>
      <c r="K285" s="2"/>
    </row>
    <row r="286" spans="6:11" s="1" customFormat="1" x14ac:dyDescent="0.45">
      <c r="F286"/>
      <c r="G286"/>
      <c r="H286"/>
      <c r="K286" s="2"/>
    </row>
    <row r="287" spans="6:11" s="1" customFormat="1" x14ac:dyDescent="0.45">
      <c r="F287"/>
      <c r="G287"/>
      <c r="H287"/>
      <c r="K287" s="2"/>
    </row>
    <row r="288" spans="6:11" s="1" customFormat="1" x14ac:dyDescent="0.45">
      <c r="F288"/>
      <c r="G288"/>
      <c r="H288"/>
      <c r="K288" s="2"/>
    </row>
    <row r="289" spans="6:11" s="1" customFormat="1" x14ac:dyDescent="0.45">
      <c r="F289"/>
      <c r="G289"/>
      <c r="H289"/>
      <c r="K289" s="2"/>
    </row>
    <row r="290" spans="6:11" s="1" customFormat="1" x14ac:dyDescent="0.45">
      <c r="F290"/>
      <c r="G290"/>
      <c r="H290"/>
      <c r="K290" s="2"/>
    </row>
    <row r="291" spans="6:11" s="1" customFormat="1" x14ac:dyDescent="0.45">
      <c r="F291"/>
      <c r="G291"/>
      <c r="H291"/>
      <c r="K291" s="2"/>
    </row>
    <row r="292" spans="6:11" s="1" customFormat="1" x14ac:dyDescent="0.45">
      <c r="F292"/>
      <c r="G292"/>
      <c r="H292"/>
      <c r="K292" s="2"/>
    </row>
    <row r="293" spans="6:11" s="1" customFormat="1" x14ac:dyDescent="0.45">
      <c r="F293"/>
      <c r="G293"/>
      <c r="H293"/>
      <c r="K293" s="2"/>
    </row>
    <row r="294" spans="6:11" s="1" customFormat="1" x14ac:dyDescent="0.45">
      <c r="F294"/>
      <c r="G294"/>
      <c r="H294"/>
      <c r="K294" s="2"/>
    </row>
    <row r="295" spans="6:11" s="1" customFormat="1" x14ac:dyDescent="0.45">
      <c r="F295"/>
      <c r="G295"/>
      <c r="H295"/>
      <c r="K295" s="2"/>
    </row>
    <row r="296" spans="6:11" s="1" customFormat="1" x14ac:dyDescent="0.45">
      <c r="F296"/>
      <c r="G296"/>
      <c r="H296"/>
      <c r="K296" s="2"/>
    </row>
    <row r="297" spans="6:11" s="1" customFormat="1" x14ac:dyDescent="0.45">
      <c r="F297"/>
      <c r="G297"/>
      <c r="H297"/>
      <c r="K297" s="2"/>
    </row>
    <row r="298" spans="6:11" s="1" customFormat="1" x14ac:dyDescent="0.45">
      <c r="F298"/>
      <c r="G298"/>
      <c r="H298"/>
      <c r="K298" s="2"/>
    </row>
    <row r="299" spans="6:11" s="1" customFormat="1" x14ac:dyDescent="0.45">
      <c r="F299"/>
      <c r="G299"/>
      <c r="H299"/>
      <c r="K299" s="2"/>
    </row>
    <row r="300" spans="6:11" s="1" customFormat="1" x14ac:dyDescent="0.45">
      <c r="F300"/>
      <c r="G300"/>
      <c r="H300"/>
      <c r="K300" s="2"/>
    </row>
    <row r="301" spans="6:11" s="1" customFormat="1" x14ac:dyDescent="0.45">
      <c r="F301"/>
      <c r="G301"/>
      <c r="H301"/>
      <c r="K301" s="2"/>
    </row>
    <row r="302" spans="6:11" s="1" customFormat="1" x14ac:dyDescent="0.45">
      <c r="F302"/>
      <c r="G302"/>
      <c r="H302"/>
      <c r="K302" s="2"/>
    </row>
    <row r="303" spans="6:11" s="1" customFormat="1" x14ac:dyDescent="0.45">
      <c r="F303"/>
      <c r="G303"/>
      <c r="H303"/>
      <c r="K303" s="2"/>
    </row>
    <row r="304" spans="6:11" s="1" customFormat="1" x14ac:dyDescent="0.45">
      <c r="F304"/>
      <c r="G304"/>
      <c r="H304"/>
      <c r="K304" s="2"/>
    </row>
    <row r="305" spans="6:11" s="1" customFormat="1" x14ac:dyDescent="0.45">
      <c r="F305"/>
      <c r="G305"/>
      <c r="H305"/>
      <c r="K305" s="2"/>
    </row>
    <row r="306" spans="6:11" s="1" customFormat="1" x14ac:dyDescent="0.45">
      <c r="F306"/>
      <c r="G306"/>
      <c r="H306"/>
      <c r="K306" s="2"/>
    </row>
    <row r="307" spans="6:11" s="1" customFormat="1" x14ac:dyDescent="0.45">
      <c r="F307"/>
      <c r="G307"/>
      <c r="H307"/>
      <c r="K307" s="2"/>
    </row>
    <row r="308" spans="6:11" s="1" customFormat="1" x14ac:dyDescent="0.45">
      <c r="F308"/>
      <c r="G308"/>
      <c r="H308"/>
      <c r="K308" s="2"/>
    </row>
    <row r="309" spans="6:11" s="1" customFormat="1" x14ac:dyDescent="0.45">
      <c r="F309"/>
      <c r="G309"/>
      <c r="H309"/>
      <c r="K309" s="2"/>
    </row>
    <row r="310" spans="6:11" s="1" customFormat="1" x14ac:dyDescent="0.45">
      <c r="F310"/>
      <c r="G310"/>
      <c r="H310"/>
      <c r="K310" s="2"/>
    </row>
    <row r="311" spans="6:11" s="1" customFormat="1" x14ac:dyDescent="0.45">
      <c r="F311"/>
      <c r="G311"/>
      <c r="H311"/>
      <c r="K311" s="2"/>
    </row>
    <row r="312" spans="6:11" s="1" customFormat="1" x14ac:dyDescent="0.45">
      <c r="F312"/>
      <c r="G312"/>
      <c r="H312"/>
      <c r="K312" s="2"/>
    </row>
    <row r="313" spans="6:11" s="1" customFormat="1" x14ac:dyDescent="0.45">
      <c r="F313"/>
      <c r="G313"/>
      <c r="H313"/>
      <c r="K313" s="2"/>
    </row>
    <row r="314" spans="6:11" s="1" customFormat="1" x14ac:dyDescent="0.45">
      <c r="F314"/>
      <c r="G314"/>
      <c r="H314"/>
      <c r="K314" s="2"/>
    </row>
    <row r="315" spans="6:11" s="1" customFormat="1" x14ac:dyDescent="0.45">
      <c r="F315"/>
      <c r="G315"/>
      <c r="H315"/>
      <c r="K315" s="2"/>
    </row>
    <row r="316" spans="6:11" s="1" customFormat="1" x14ac:dyDescent="0.45">
      <c r="F316"/>
      <c r="G316"/>
      <c r="H316"/>
      <c r="K316" s="2"/>
    </row>
    <row r="317" spans="6:11" s="1" customFormat="1" x14ac:dyDescent="0.45">
      <c r="F317"/>
      <c r="G317"/>
      <c r="H317"/>
      <c r="K317" s="2"/>
    </row>
    <row r="318" spans="6:11" s="1" customFormat="1" x14ac:dyDescent="0.45">
      <c r="F318"/>
      <c r="G318"/>
      <c r="H318"/>
      <c r="K318" s="2"/>
    </row>
    <row r="319" spans="6:11" s="1" customFormat="1" x14ac:dyDescent="0.45">
      <c r="F319"/>
      <c r="G319"/>
      <c r="H319"/>
      <c r="K319" s="2"/>
    </row>
    <row r="320" spans="6:11" s="1" customFormat="1" x14ac:dyDescent="0.45">
      <c r="F320"/>
      <c r="G320"/>
      <c r="H320"/>
      <c r="K320" s="2"/>
    </row>
    <row r="321" spans="6:11" s="1" customFormat="1" x14ac:dyDescent="0.45">
      <c r="F321"/>
      <c r="G321"/>
      <c r="H321"/>
      <c r="K321" s="2"/>
    </row>
    <row r="322" spans="6:11" s="1" customFormat="1" x14ac:dyDescent="0.45">
      <c r="F322"/>
      <c r="G322"/>
      <c r="H322"/>
      <c r="K322" s="2"/>
    </row>
    <row r="323" spans="6:11" s="1" customFormat="1" x14ac:dyDescent="0.45">
      <c r="F323"/>
      <c r="G323"/>
      <c r="H323"/>
      <c r="K323" s="2"/>
    </row>
    <row r="324" spans="6:11" s="1" customFormat="1" x14ac:dyDescent="0.45">
      <c r="F324"/>
      <c r="G324"/>
      <c r="H324"/>
      <c r="K324" s="2"/>
    </row>
    <row r="325" spans="6:11" s="1" customFormat="1" x14ac:dyDescent="0.45">
      <c r="F325"/>
      <c r="G325"/>
      <c r="H325"/>
      <c r="K325" s="2"/>
    </row>
    <row r="326" spans="6:11" s="1" customFormat="1" x14ac:dyDescent="0.45">
      <c r="F326"/>
      <c r="G326"/>
      <c r="H326"/>
      <c r="K326" s="2"/>
    </row>
    <row r="327" spans="6:11" s="1" customFormat="1" x14ac:dyDescent="0.45">
      <c r="F327"/>
      <c r="G327"/>
      <c r="H327"/>
      <c r="K327" s="2"/>
    </row>
    <row r="328" spans="6:11" s="1" customFormat="1" x14ac:dyDescent="0.45">
      <c r="F328"/>
      <c r="G328"/>
      <c r="H328"/>
      <c r="K328" s="2"/>
    </row>
    <row r="329" spans="6:11" s="1" customFormat="1" x14ac:dyDescent="0.45">
      <c r="F329"/>
      <c r="G329"/>
      <c r="H329"/>
      <c r="K329" s="2"/>
    </row>
    <row r="330" spans="6:11" s="1" customFormat="1" x14ac:dyDescent="0.45">
      <c r="F330"/>
      <c r="G330"/>
      <c r="H330"/>
      <c r="K330" s="2"/>
    </row>
    <row r="331" spans="6:11" s="1" customFormat="1" x14ac:dyDescent="0.45">
      <c r="F331"/>
      <c r="G331"/>
      <c r="H331"/>
      <c r="K331" s="2"/>
    </row>
    <row r="332" spans="6:11" s="1" customFormat="1" x14ac:dyDescent="0.45">
      <c r="F332"/>
      <c r="G332"/>
      <c r="H332"/>
      <c r="K332" s="2"/>
    </row>
    <row r="333" spans="6:11" s="1" customFormat="1" x14ac:dyDescent="0.45">
      <c r="F333"/>
      <c r="G333"/>
      <c r="H333"/>
      <c r="K333" s="2"/>
    </row>
    <row r="334" spans="6:11" s="1" customFormat="1" x14ac:dyDescent="0.45">
      <c r="F334"/>
      <c r="G334"/>
      <c r="H334"/>
      <c r="K334" s="2"/>
    </row>
    <row r="335" spans="6:11" s="1" customFormat="1" x14ac:dyDescent="0.45">
      <c r="F335"/>
      <c r="G335"/>
      <c r="H335"/>
      <c r="K335" s="2"/>
    </row>
    <row r="336" spans="6:11" s="1" customFormat="1" x14ac:dyDescent="0.45">
      <c r="F336"/>
      <c r="G336"/>
      <c r="H336"/>
      <c r="K336" s="2"/>
    </row>
    <row r="337" spans="6:11" s="1" customFormat="1" x14ac:dyDescent="0.45">
      <c r="F337"/>
      <c r="G337"/>
      <c r="H337"/>
      <c r="K337" s="2"/>
    </row>
    <row r="338" spans="6:11" s="1" customFormat="1" x14ac:dyDescent="0.45">
      <c r="F338"/>
      <c r="G338"/>
      <c r="H338"/>
      <c r="K338" s="2"/>
    </row>
    <row r="339" spans="6:11" s="1" customFormat="1" x14ac:dyDescent="0.45">
      <c r="F339"/>
      <c r="G339"/>
      <c r="H339"/>
      <c r="K339" s="2"/>
    </row>
    <row r="340" spans="6:11" s="1" customFormat="1" x14ac:dyDescent="0.45">
      <c r="F340"/>
      <c r="G340"/>
      <c r="H340"/>
      <c r="K340" s="2"/>
    </row>
    <row r="341" spans="6:11" s="1" customFormat="1" x14ac:dyDescent="0.45">
      <c r="F341"/>
      <c r="G341"/>
      <c r="H341"/>
      <c r="K341" s="2"/>
    </row>
    <row r="342" spans="6:11" s="1" customFormat="1" x14ac:dyDescent="0.45">
      <c r="F342"/>
      <c r="G342"/>
      <c r="H342"/>
      <c r="K342" s="2"/>
    </row>
    <row r="343" spans="6:11" s="1" customFormat="1" x14ac:dyDescent="0.45">
      <c r="F343"/>
      <c r="G343"/>
      <c r="H343"/>
      <c r="K343" s="2"/>
    </row>
    <row r="344" spans="6:11" s="1" customFormat="1" x14ac:dyDescent="0.45">
      <c r="F344"/>
      <c r="G344"/>
      <c r="H344"/>
      <c r="K344" s="2"/>
    </row>
    <row r="345" spans="6:11" s="1" customFormat="1" x14ac:dyDescent="0.45">
      <c r="F345"/>
      <c r="G345"/>
      <c r="H345"/>
      <c r="K345" s="2"/>
    </row>
    <row r="346" spans="6:11" s="1" customFormat="1" x14ac:dyDescent="0.45">
      <c r="F346"/>
      <c r="G346"/>
      <c r="H346"/>
      <c r="K346" s="2"/>
    </row>
    <row r="347" spans="6:11" s="1" customFormat="1" x14ac:dyDescent="0.45">
      <c r="F347"/>
      <c r="G347"/>
      <c r="H347"/>
      <c r="K347" s="2"/>
    </row>
    <row r="348" spans="6:11" s="1" customFormat="1" x14ac:dyDescent="0.45">
      <c r="F348"/>
      <c r="G348"/>
      <c r="H348"/>
      <c r="K348" s="2"/>
    </row>
    <row r="349" spans="6:11" s="1" customFormat="1" x14ac:dyDescent="0.45">
      <c r="F349"/>
      <c r="G349"/>
      <c r="H349"/>
      <c r="K349" s="2"/>
    </row>
    <row r="350" spans="6:11" s="1" customFormat="1" x14ac:dyDescent="0.45">
      <c r="F350"/>
      <c r="G350"/>
      <c r="H350"/>
      <c r="K350" s="2"/>
    </row>
    <row r="351" spans="6:11" s="1" customFormat="1" x14ac:dyDescent="0.45">
      <c r="F351"/>
      <c r="G351"/>
      <c r="H351"/>
      <c r="K351" s="2"/>
    </row>
    <row r="352" spans="6:11" s="1" customFormat="1" x14ac:dyDescent="0.45">
      <c r="F352"/>
      <c r="G352"/>
      <c r="H352"/>
      <c r="K352" s="2"/>
    </row>
    <row r="353" spans="6:11" s="1" customFormat="1" x14ac:dyDescent="0.45">
      <c r="F353"/>
      <c r="G353"/>
      <c r="H353"/>
      <c r="K353" s="2"/>
    </row>
    <row r="354" spans="6:11" s="1" customFormat="1" x14ac:dyDescent="0.45">
      <c r="F354"/>
      <c r="G354"/>
      <c r="H354"/>
      <c r="K354" s="2"/>
    </row>
    <row r="355" spans="6:11" s="1" customFormat="1" x14ac:dyDescent="0.45">
      <c r="F355"/>
      <c r="G355"/>
      <c r="H355"/>
      <c r="K355" s="2"/>
    </row>
    <row r="356" spans="6:11" s="1" customFormat="1" x14ac:dyDescent="0.45">
      <c r="F356"/>
      <c r="G356"/>
      <c r="H356"/>
      <c r="K356" s="2"/>
    </row>
    <row r="357" spans="6:11" s="1" customFormat="1" x14ac:dyDescent="0.45">
      <c r="F357"/>
      <c r="G357"/>
      <c r="H357"/>
      <c r="K357" s="2"/>
    </row>
    <row r="358" spans="6:11" s="1" customFormat="1" x14ac:dyDescent="0.45">
      <c r="F358"/>
      <c r="G358"/>
      <c r="H358"/>
      <c r="K358" s="2"/>
    </row>
    <row r="359" spans="6:11" s="1" customFormat="1" x14ac:dyDescent="0.45">
      <c r="F359"/>
      <c r="G359"/>
      <c r="H359"/>
      <c r="K359" s="2"/>
    </row>
    <row r="360" spans="6:11" s="1" customFormat="1" x14ac:dyDescent="0.45">
      <c r="F360"/>
      <c r="G360"/>
      <c r="H360"/>
      <c r="K360" s="2"/>
    </row>
    <row r="361" spans="6:11" s="1" customFormat="1" x14ac:dyDescent="0.45">
      <c r="F361"/>
      <c r="G361"/>
      <c r="H361"/>
      <c r="K361" s="2"/>
    </row>
    <row r="362" spans="6:11" s="1" customFormat="1" x14ac:dyDescent="0.45">
      <c r="F362"/>
      <c r="G362"/>
      <c r="H362"/>
      <c r="K362" s="2"/>
    </row>
    <row r="363" spans="6:11" s="1" customFormat="1" x14ac:dyDescent="0.45">
      <c r="F363"/>
      <c r="G363"/>
      <c r="H363"/>
      <c r="K363" s="2"/>
    </row>
    <row r="364" spans="6:11" s="1" customFormat="1" x14ac:dyDescent="0.45">
      <c r="F364"/>
      <c r="G364"/>
      <c r="H364"/>
      <c r="K364" s="2"/>
    </row>
    <row r="365" spans="6:11" s="1" customFormat="1" x14ac:dyDescent="0.45">
      <c r="F365"/>
      <c r="G365"/>
      <c r="H365"/>
      <c r="K365" s="2"/>
    </row>
    <row r="366" spans="6:11" s="1" customFormat="1" x14ac:dyDescent="0.45">
      <c r="F366"/>
      <c r="G366"/>
      <c r="H366"/>
      <c r="K366" s="2"/>
    </row>
    <row r="367" spans="6:11" s="1" customFormat="1" x14ac:dyDescent="0.45">
      <c r="F367"/>
      <c r="G367"/>
      <c r="H367"/>
      <c r="K367" s="2"/>
    </row>
    <row r="368" spans="6:11" s="1" customFormat="1" x14ac:dyDescent="0.45">
      <c r="F368"/>
      <c r="G368"/>
      <c r="H368"/>
      <c r="K368" s="2"/>
    </row>
    <row r="369" spans="6:11" s="1" customFormat="1" x14ac:dyDescent="0.45">
      <c r="F369"/>
      <c r="G369"/>
      <c r="H369"/>
      <c r="K369" s="2"/>
    </row>
    <row r="370" spans="6:11" s="1" customFormat="1" x14ac:dyDescent="0.45">
      <c r="F370"/>
      <c r="G370"/>
      <c r="H370"/>
      <c r="K370" s="2"/>
    </row>
    <row r="371" spans="6:11" s="1" customFormat="1" x14ac:dyDescent="0.45">
      <c r="F371"/>
      <c r="G371"/>
      <c r="H371"/>
      <c r="K371" s="2"/>
    </row>
    <row r="372" spans="6:11" s="1" customFormat="1" x14ac:dyDescent="0.45">
      <c r="F372"/>
      <c r="G372"/>
      <c r="H372"/>
      <c r="K372" s="2"/>
    </row>
    <row r="373" spans="6:11" s="1" customFormat="1" x14ac:dyDescent="0.45">
      <c r="F373"/>
      <c r="G373"/>
      <c r="H373"/>
      <c r="K373" s="2"/>
    </row>
    <row r="374" spans="6:11" s="1" customFormat="1" x14ac:dyDescent="0.45">
      <c r="F374"/>
      <c r="G374"/>
      <c r="H374"/>
      <c r="K374" s="2"/>
    </row>
    <row r="375" spans="6:11" s="1" customFormat="1" x14ac:dyDescent="0.45">
      <c r="F375"/>
      <c r="G375"/>
      <c r="H375"/>
      <c r="K375" s="2"/>
    </row>
    <row r="376" spans="6:11" s="1" customFormat="1" x14ac:dyDescent="0.45">
      <c r="F376"/>
      <c r="G376"/>
      <c r="H376"/>
      <c r="K376" s="2"/>
    </row>
    <row r="377" spans="6:11" s="1" customFormat="1" x14ac:dyDescent="0.45">
      <c r="F377"/>
      <c r="G377"/>
      <c r="H377"/>
      <c r="K377" s="2"/>
    </row>
    <row r="378" spans="6:11" s="1" customFormat="1" x14ac:dyDescent="0.45">
      <c r="F378"/>
      <c r="G378"/>
      <c r="H378"/>
      <c r="K378" s="2"/>
    </row>
    <row r="379" spans="6:11" s="1" customFormat="1" x14ac:dyDescent="0.45">
      <c r="F379"/>
      <c r="G379"/>
      <c r="H379"/>
      <c r="K379" s="2"/>
    </row>
    <row r="380" spans="6:11" s="1" customFormat="1" x14ac:dyDescent="0.45">
      <c r="F380"/>
      <c r="G380"/>
      <c r="H380"/>
      <c r="K380" s="2"/>
    </row>
    <row r="381" spans="6:11" s="1" customFormat="1" x14ac:dyDescent="0.45">
      <c r="F381"/>
      <c r="G381"/>
      <c r="H381"/>
      <c r="K381" s="2"/>
    </row>
    <row r="382" spans="6:11" s="1" customFormat="1" x14ac:dyDescent="0.45">
      <c r="F382"/>
      <c r="G382"/>
      <c r="H382"/>
      <c r="K382" s="2"/>
    </row>
    <row r="383" spans="6:11" s="1" customFormat="1" x14ac:dyDescent="0.45">
      <c r="F383"/>
      <c r="G383"/>
      <c r="H383"/>
      <c r="K383" s="2"/>
    </row>
    <row r="384" spans="6:11" s="1" customFormat="1" x14ac:dyDescent="0.45">
      <c r="F384"/>
      <c r="G384"/>
      <c r="H384"/>
      <c r="K384" s="2"/>
    </row>
    <row r="385" spans="6:11" s="1" customFormat="1" x14ac:dyDescent="0.45">
      <c r="F385"/>
      <c r="G385"/>
      <c r="H385"/>
      <c r="K385" s="2"/>
    </row>
    <row r="386" spans="6:11" s="1" customFormat="1" x14ac:dyDescent="0.45">
      <c r="F386"/>
      <c r="G386"/>
      <c r="H386"/>
      <c r="K386" s="2"/>
    </row>
    <row r="387" spans="6:11" s="1" customFormat="1" x14ac:dyDescent="0.45">
      <c r="F387"/>
      <c r="G387"/>
      <c r="H387"/>
      <c r="K387" s="2"/>
    </row>
    <row r="388" spans="6:11" s="1" customFormat="1" x14ac:dyDescent="0.45">
      <c r="F388"/>
      <c r="G388"/>
      <c r="H388"/>
      <c r="K388" s="2"/>
    </row>
    <row r="389" spans="6:11" s="1" customFormat="1" x14ac:dyDescent="0.45">
      <c r="F389"/>
      <c r="G389"/>
      <c r="H389"/>
      <c r="K389" s="2"/>
    </row>
    <row r="390" spans="6:11" s="1" customFormat="1" x14ac:dyDescent="0.45">
      <c r="F390"/>
      <c r="G390"/>
      <c r="H390"/>
      <c r="K390" s="2"/>
    </row>
    <row r="391" spans="6:11" s="1" customFormat="1" x14ac:dyDescent="0.45">
      <c r="F391"/>
      <c r="G391"/>
      <c r="H391"/>
      <c r="K391" s="2"/>
    </row>
    <row r="392" spans="6:11" s="1" customFormat="1" x14ac:dyDescent="0.45">
      <c r="F392"/>
      <c r="G392"/>
      <c r="H392"/>
      <c r="K392" s="2"/>
    </row>
    <row r="393" spans="6:11" s="1" customFormat="1" x14ac:dyDescent="0.45">
      <c r="F393"/>
      <c r="G393"/>
      <c r="H393"/>
      <c r="K393" s="2"/>
    </row>
    <row r="394" spans="6:11" s="1" customFormat="1" x14ac:dyDescent="0.45">
      <c r="F394"/>
      <c r="G394"/>
      <c r="H394"/>
      <c r="K394" s="2"/>
    </row>
    <row r="395" spans="6:11" s="1" customFormat="1" x14ac:dyDescent="0.45">
      <c r="F395"/>
      <c r="G395"/>
      <c r="H395"/>
      <c r="K395" s="2"/>
    </row>
    <row r="396" spans="6:11" s="1" customFormat="1" x14ac:dyDescent="0.45">
      <c r="F396"/>
      <c r="G396"/>
      <c r="H396"/>
      <c r="K396" s="2"/>
    </row>
    <row r="397" spans="6:11" s="1" customFormat="1" x14ac:dyDescent="0.45">
      <c r="F397"/>
      <c r="G397"/>
      <c r="H397"/>
      <c r="K397" s="2"/>
    </row>
    <row r="398" spans="6:11" s="1" customFormat="1" x14ac:dyDescent="0.45">
      <c r="F398"/>
      <c r="G398"/>
      <c r="H398"/>
      <c r="K398" s="2"/>
    </row>
    <row r="399" spans="6:11" s="1" customFormat="1" x14ac:dyDescent="0.45">
      <c r="F399"/>
      <c r="G399"/>
      <c r="H399"/>
      <c r="K399" s="2"/>
    </row>
    <row r="400" spans="6:11" s="1" customFormat="1" x14ac:dyDescent="0.45">
      <c r="F400"/>
      <c r="G400"/>
      <c r="H400"/>
      <c r="K400" s="2"/>
    </row>
    <row r="401" spans="6:11" s="1" customFormat="1" x14ac:dyDescent="0.45">
      <c r="F401"/>
      <c r="G401"/>
      <c r="H401"/>
      <c r="K401" s="2"/>
    </row>
    <row r="402" spans="6:11" s="1" customFormat="1" x14ac:dyDescent="0.45">
      <c r="F402"/>
      <c r="G402"/>
      <c r="H402"/>
      <c r="K402" s="2"/>
    </row>
    <row r="403" spans="6:11" s="1" customFormat="1" x14ac:dyDescent="0.45">
      <c r="F403"/>
      <c r="G403"/>
      <c r="H403"/>
      <c r="K403" s="2"/>
    </row>
    <row r="404" spans="6:11" s="1" customFormat="1" x14ac:dyDescent="0.45">
      <c r="F404"/>
      <c r="G404"/>
      <c r="H404"/>
      <c r="K404" s="2"/>
    </row>
    <row r="405" spans="6:11" s="1" customFormat="1" x14ac:dyDescent="0.45">
      <c r="F405"/>
      <c r="G405"/>
      <c r="H405"/>
      <c r="K405" s="2"/>
    </row>
    <row r="406" spans="6:11" s="1" customFormat="1" x14ac:dyDescent="0.45">
      <c r="F406"/>
      <c r="G406"/>
      <c r="H406"/>
      <c r="K406" s="2"/>
    </row>
    <row r="407" spans="6:11" s="1" customFormat="1" x14ac:dyDescent="0.45">
      <c r="F407"/>
      <c r="G407"/>
      <c r="H407"/>
      <c r="K407" s="2"/>
    </row>
    <row r="408" spans="6:11" s="1" customFormat="1" x14ac:dyDescent="0.45">
      <c r="F408"/>
      <c r="G408"/>
      <c r="H408"/>
      <c r="K408" s="2"/>
    </row>
    <row r="409" spans="6:11" s="1" customFormat="1" x14ac:dyDescent="0.45">
      <c r="F409"/>
      <c r="G409"/>
      <c r="H409"/>
      <c r="K409" s="2"/>
    </row>
    <row r="410" spans="6:11" s="1" customFormat="1" x14ac:dyDescent="0.45">
      <c r="F410"/>
      <c r="G410"/>
      <c r="H410"/>
      <c r="K410" s="2"/>
    </row>
    <row r="411" spans="6:11" s="1" customFormat="1" x14ac:dyDescent="0.45">
      <c r="F411"/>
      <c r="G411"/>
      <c r="H411"/>
      <c r="K411" s="2"/>
    </row>
    <row r="412" spans="6:11" s="1" customFormat="1" x14ac:dyDescent="0.45">
      <c r="F412"/>
      <c r="G412"/>
      <c r="H412"/>
      <c r="K412" s="2"/>
    </row>
    <row r="413" spans="6:11" s="1" customFormat="1" x14ac:dyDescent="0.45">
      <c r="F413"/>
      <c r="G413"/>
      <c r="H413"/>
      <c r="K413" s="2"/>
    </row>
    <row r="414" spans="6:11" s="1" customFormat="1" x14ac:dyDescent="0.45">
      <c r="F414"/>
      <c r="G414"/>
      <c r="H414"/>
      <c r="K414" s="2"/>
    </row>
    <row r="415" spans="6:11" s="1" customFormat="1" x14ac:dyDescent="0.45">
      <c r="F415"/>
      <c r="G415"/>
      <c r="H415"/>
      <c r="K415" s="2"/>
    </row>
    <row r="416" spans="6:11" s="1" customFormat="1" x14ac:dyDescent="0.45">
      <c r="F416"/>
      <c r="G416"/>
      <c r="H416"/>
      <c r="K416" s="2"/>
    </row>
    <row r="417" spans="6:11" s="1" customFormat="1" x14ac:dyDescent="0.45">
      <c r="F417"/>
      <c r="G417"/>
      <c r="H417"/>
      <c r="K417" s="2"/>
    </row>
    <row r="418" spans="6:11" s="1" customFormat="1" x14ac:dyDescent="0.45">
      <c r="F418"/>
      <c r="G418"/>
      <c r="H418"/>
      <c r="K418" s="2"/>
    </row>
    <row r="419" spans="6:11" s="1" customFormat="1" x14ac:dyDescent="0.45">
      <c r="F419"/>
      <c r="G419"/>
      <c r="H419"/>
      <c r="K419" s="2"/>
    </row>
    <row r="420" spans="6:11" s="1" customFormat="1" x14ac:dyDescent="0.45">
      <c r="F420"/>
      <c r="G420"/>
      <c r="H420"/>
      <c r="K420" s="2"/>
    </row>
    <row r="421" spans="6:11" s="1" customFormat="1" x14ac:dyDescent="0.45">
      <c r="F421"/>
      <c r="G421"/>
      <c r="H421"/>
      <c r="K421" s="2"/>
    </row>
    <row r="422" spans="6:11" s="1" customFormat="1" x14ac:dyDescent="0.45">
      <c r="F422"/>
      <c r="G422"/>
      <c r="H422"/>
      <c r="K422" s="2"/>
    </row>
    <row r="423" spans="6:11" s="1" customFormat="1" x14ac:dyDescent="0.45">
      <c r="F423"/>
      <c r="G423"/>
      <c r="H423"/>
      <c r="K423" s="2"/>
    </row>
    <row r="424" spans="6:11" s="1" customFormat="1" x14ac:dyDescent="0.45">
      <c r="F424"/>
      <c r="G424"/>
      <c r="H424"/>
      <c r="K424" s="2"/>
    </row>
    <row r="425" spans="6:11" s="1" customFormat="1" x14ac:dyDescent="0.45">
      <c r="F425"/>
      <c r="G425"/>
      <c r="H425"/>
      <c r="K425" s="2"/>
    </row>
    <row r="426" spans="6:11" s="1" customFormat="1" x14ac:dyDescent="0.45">
      <c r="F426"/>
      <c r="G426"/>
      <c r="H426"/>
      <c r="K426" s="2"/>
    </row>
    <row r="427" spans="6:11" s="1" customFormat="1" x14ac:dyDescent="0.45">
      <c r="F427"/>
      <c r="G427"/>
      <c r="H427"/>
      <c r="K427" s="2"/>
    </row>
    <row r="428" spans="6:11" s="1" customFormat="1" x14ac:dyDescent="0.45">
      <c r="F428"/>
      <c r="G428"/>
      <c r="H428"/>
      <c r="K428" s="2"/>
    </row>
    <row r="429" spans="6:11" s="1" customFormat="1" x14ac:dyDescent="0.45">
      <c r="F429"/>
      <c r="G429"/>
      <c r="H429"/>
      <c r="K429" s="2"/>
    </row>
    <row r="430" spans="6:11" s="1" customFormat="1" x14ac:dyDescent="0.45">
      <c r="F430"/>
      <c r="G430"/>
      <c r="H430"/>
      <c r="K430" s="2"/>
    </row>
    <row r="431" spans="6:11" s="1" customFormat="1" x14ac:dyDescent="0.45">
      <c r="F431"/>
      <c r="G431"/>
      <c r="H431"/>
      <c r="K431" s="2"/>
    </row>
    <row r="432" spans="6:11" s="1" customFormat="1" x14ac:dyDescent="0.45">
      <c r="F432"/>
      <c r="G432"/>
      <c r="H432"/>
      <c r="K432" s="2"/>
    </row>
    <row r="433" spans="6:11" s="1" customFormat="1" x14ac:dyDescent="0.45">
      <c r="F433"/>
      <c r="G433"/>
      <c r="H433"/>
      <c r="K433" s="2"/>
    </row>
    <row r="434" spans="6:11" s="1" customFormat="1" x14ac:dyDescent="0.45">
      <c r="F434"/>
      <c r="G434"/>
      <c r="H434"/>
      <c r="K434" s="2"/>
    </row>
    <row r="435" spans="6:11" s="1" customFormat="1" x14ac:dyDescent="0.45">
      <c r="F435"/>
      <c r="G435"/>
      <c r="H435"/>
      <c r="K435" s="2"/>
    </row>
    <row r="436" spans="6:11" s="1" customFormat="1" x14ac:dyDescent="0.45">
      <c r="F436"/>
      <c r="G436"/>
      <c r="H436"/>
      <c r="K436" s="2"/>
    </row>
    <row r="437" spans="6:11" s="1" customFormat="1" x14ac:dyDescent="0.45">
      <c r="F437"/>
      <c r="G437"/>
      <c r="H437"/>
      <c r="K437" s="2"/>
    </row>
    <row r="438" spans="6:11" s="1" customFormat="1" x14ac:dyDescent="0.45">
      <c r="F438"/>
      <c r="G438"/>
      <c r="H438"/>
      <c r="K438" s="2"/>
    </row>
    <row r="439" spans="6:11" s="1" customFormat="1" x14ac:dyDescent="0.45">
      <c r="F439"/>
      <c r="G439"/>
      <c r="H439"/>
      <c r="K439" s="2"/>
    </row>
    <row r="440" spans="6:11" s="1" customFormat="1" x14ac:dyDescent="0.45">
      <c r="F440"/>
      <c r="G440"/>
      <c r="H440"/>
      <c r="K440" s="2"/>
    </row>
    <row r="441" spans="6:11" s="1" customFormat="1" x14ac:dyDescent="0.45">
      <c r="F441"/>
      <c r="G441"/>
      <c r="H441"/>
      <c r="K441" s="2"/>
    </row>
    <row r="442" spans="6:11" s="1" customFormat="1" x14ac:dyDescent="0.45">
      <c r="F442"/>
      <c r="G442"/>
      <c r="H442"/>
      <c r="K442" s="2"/>
    </row>
    <row r="443" spans="6:11" s="1" customFormat="1" x14ac:dyDescent="0.45">
      <c r="F443"/>
      <c r="G443"/>
      <c r="H443"/>
      <c r="K443" s="2"/>
    </row>
    <row r="444" spans="6:11" s="1" customFormat="1" x14ac:dyDescent="0.45">
      <c r="F444"/>
      <c r="G444"/>
      <c r="H444"/>
      <c r="K444" s="2"/>
    </row>
    <row r="445" spans="6:11" s="1" customFormat="1" x14ac:dyDescent="0.45">
      <c r="F445"/>
      <c r="G445"/>
      <c r="H445"/>
      <c r="K445" s="2"/>
    </row>
    <row r="446" spans="6:11" s="1" customFormat="1" x14ac:dyDescent="0.45">
      <c r="F446"/>
      <c r="G446"/>
      <c r="H446"/>
      <c r="K446" s="2"/>
    </row>
    <row r="447" spans="6:11" s="1" customFormat="1" x14ac:dyDescent="0.45">
      <c r="F447"/>
      <c r="G447"/>
      <c r="H447"/>
      <c r="K447" s="2"/>
    </row>
    <row r="448" spans="6:11" s="1" customFormat="1" x14ac:dyDescent="0.45">
      <c r="F448"/>
      <c r="G448"/>
      <c r="H448"/>
      <c r="K448" s="2"/>
    </row>
    <row r="449" spans="6:11" s="1" customFormat="1" x14ac:dyDescent="0.45">
      <c r="F449"/>
      <c r="G449"/>
      <c r="H449"/>
      <c r="K449" s="2"/>
    </row>
    <row r="450" spans="6:11" s="1" customFormat="1" x14ac:dyDescent="0.45">
      <c r="F450"/>
      <c r="G450"/>
      <c r="H450"/>
      <c r="K450" s="2"/>
    </row>
    <row r="451" spans="6:11" s="1" customFormat="1" x14ac:dyDescent="0.45">
      <c r="F451"/>
      <c r="G451"/>
      <c r="H451"/>
      <c r="K451" s="2"/>
    </row>
    <row r="452" spans="6:11" s="1" customFormat="1" x14ac:dyDescent="0.45">
      <c r="F452"/>
      <c r="G452"/>
      <c r="H452"/>
      <c r="K452" s="2"/>
    </row>
    <row r="453" spans="6:11" s="1" customFormat="1" x14ac:dyDescent="0.45">
      <c r="F453"/>
      <c r="G453"/>
      <c r="H453"/>
      <c r="K453" s="2"/>
    </row>
    <row r="454" spans="6:11" s="1" customFormat="1" x14ac:dyDescent="0.45">
      <c r="F454"/>
      <c r="G454"/>
      <c r="H454"/>
      <c r="K454" s="2"/>
    </row>
    <row r="455" spans="6:11" s="1" customFormat="1" x14ac:dyDescent="0.45">
      <c r="F455"/>
      <c r="G455"/>
      <c r="H455"/>
      <c r="K455" s="2"/>
    </row>
    <row r="456" spans="6:11" s="1" customFormat="1" x14ac:dyDescent="0.45">
      <c r="F456"/>
      <c r="G456"/>
      <c r="H456"/>
      <c r="K456" s="2"/>
    </row>
    <row r="457" spans="6:11" s="1" customFormat="1" x14ac:dyDescent="0.45">
      <c r="F457"/>
      <c r="G457"/>
      <c r="H457"/>
      <c r="K457" s="2"/>
    </row>
    <row r="458" spans="6:11" s="1" customFormat="1" x14ac:dyDescent="0.45">
      <c r="F458"/>
      <c r="G458"/>
      <c r="H458"/>
      <c r="K458" s="2"/>
    </row>
    <row r="459" spans="6:11" s="1" customFormat="1" x14ac:dyDescent="0.45">
      <c r="F459"/>
      <c r="G459"/>
      <c r="H459"/>
      <c r="K459" s="2"/>
    </row>
    <row r="460" spans="6:11" s="1" customFormat="1" x14ac:dyDescent="0.45">
      <c r="F460"/>
      <c r="G460"/>
      <c r="H460"/>
      <c r="K460" s="2"/>
    </row>
    <row r="461" spans="6:11" s="1" customFormat="1" x14ac:dyDescent="0.45">
      <c r="F461"/>
      <c r="G461"/>
      <c r="H461"/>
      <c r="K461" s="2"/>
    </row>
    <row r="462" spans="6:11" s="1" customFormat="1" x14ac:dyDescent="0.45">
      <c r="F462"/>
      <c r="G462"/>
      <c r="H462"/>
      <c r="K462" s="2"/>
    </row>
    <row r="463" spans="6:11" s="1" customFormat="1" x14ac:dyDescent="0.45">
      <c r="F463"/>
      <c r="G463"/>
      <c r="H463"/>
      <c r="K463" s="2"/>
    </row>
    <row r="464" spans="6:11" s="1" customFormat="1" x14ac:dyDescent="0.45">
      <c r="F464"/>
      <c r="G464"/>
      <c r="H464"/>
      <c r="K464" s="2"/>
    </row>
    <row r="465" spans="6:11" s="1" customFormat="1" x14ac:dyDescent="0.45">
      <c r="F465"/>
      <c r="G465"/>
      <c r="H465"/>
      <c r="K465" s="2"/>
    </row>
    <row r="466" spans="6:11" s="1" customFormat="1" x14ac:dyDescent="0.45">
      <c r="F466"/>
      <c r="G466"/>
      <c r="H466"/>
      <c r="K466" s="2"/>
    </row>
    <row r="467" spans="6:11" s="1" customFormat="1" x14ac:dyDescent="0.45">
      <c r="F467"/>
      <c r="G467"/>
      <c r="H467"/>
      <c r="K467" s="2"/>
    </row>
    <row r="468" spans="6:11" s="1" customFormat="1" x14ac:dyDescent="0.45">
      <c r="F468"/>
      <c r="G468"/>
      <c r="H468"/>
      <c r="K468" s="2"/>
    </row>
    <row r="469" spans="6:11" s="1" customFormat="1" x14ac:dyDescent="0.45">
      <c r="F469"/>
      <c r="G469"/>
      <c r="H469"/>
      <c r="K469" s="2"/>
    </row>
    <row r="470" spans="6:11" s="1" customFormat="1" x14ac:dyDescent="0.45">
      <c r="F470"/>
      <c r="G470"/>
      <c r="H470"/>
      <c r="K470" s="2"/>
    </row>
    <row r="471" spans="6:11" s="1" customFormat="1" x14ac:dyDescent="0.45">
      <c r="F471"/>
      <c r="G471"/>
      <c r="H471"/>
      <c r="K471" s="2"/>
    </row>
    <row r="472" spans="6:11" s="1" customFormat="1" x14ac:dyDescent="0.45">
      <c r="F472"/>
      <c r="G472"/>
      <c r="H472"/>
      <c r="K472" s="2"/>
    </row>
    <row r="473" spans="6:11" s="1" customFormat="1" x14ac:dyDescent="0.45">
      <c r="F473"/>
      <c r="G473"/>
      <c r="H473"/>
      <c r="K473" s="2"/>
    </row>
    <row r="474" spans="6:11" s="1" customFormat="1" x14ac:dyDescent="0.45">
      <c r="F474"/>
      <c r="G474"/>
      <c r="H474"/>
      <c r="K474" s="2"/>
    </row>
    <row r="475" spans="6:11" s="1" customFormat="1" x14ac:dyDescent="0.45">
      <c r="F475"/>
      <c r="G475"/>
      <c r="H475"/>
      <c r="K475" s="2"/>
    </row>
    <row r="476" spans="6:11" s="1" customFormat="1" x14ac:dyDescent="0.45">
      <c r="F476"/>
      <c r="G476"/>
      <c r="H476"/>
      <c r="K476" s="2"/>
    </row>
    <row r="477" spans="6:11" s="1" customFormat="1" x14ac:dyDescent="0.45">
      <c r="F477"/>
      <c r="G477"/>
      <c r="H477"/>
      <c r="K477" s="2"/>
    </row>
    <row r="478" spans="6:11" s="1" customFormat="1" x14ac:dyDescent="0.45">
      <c r="F478"/>
      <c r="G478"/>
      <c r="H478"/>
      <c r="K478" s="2"/>
    </row>
    <row r="479" spans="6:11" s="1" customFormat="1" x14ac:dyDescent="0.45">
      <c r="F479"/>
      <c r="G479"/>
      <c r="H479"/>
      <c r="K479" s="2"/>
    </row>
    <row r="480" spans="6:11" s="1" customFormat="1" x14ac:dyDescent="0.45">
      <c r="F480"/>
      <c r="G480"/>
      <c r="H480"/>
      <c r="K480" s="2"/>
    </row>
    <row r="481" spans="6:11" s="1" customFormat="1" x14ac:dyDescent="0.45">
      <c r="F481"/>
      <c r="G481"/>
      <c r="H481"/>
      <c r="K481" s="2"/>
    </row>
    <row r="482" spans="6:11" s="1" customFormat="1" x14ac:dyDescent="0.45">
      <c r="F482"/>
      <c r="G482"/>
      <c r="H482"/>
      <c r="K482" s="2"/>
    </row>
    <row r="483" spans="6:11" s="1" customFormat="1" x14ac:dyDescent="0.45">
      <c r="F483"/>
      <c r="G483"/>
      <c r="H483"/>
      <c r="K483" s="2"/>
    </row>
    <row r="484" spans="6:11" s="1" customFormat="1" x14ac:dyDescent="0.45">
      <c r="F484"/>
      <c r="G484"/>
      <c r="H484"/>
      <c r="K484" s="2"/>
    </row>
    <row r="485" spans="6:11" s="1" customFormat="1" x14ac:dyDescent="0.45">
      <c r="F485"/>
      <c r="G485"/>
      <c r="H485"/>
      <c r="K485" s="2"/>
    </row>
    <row r="486" spans="6:11" s="1" customFormat="1" x14ac:dyDescent="0.45">
      <c r="F486"/>
      <c r="G486"/>
      <c r="H486"/>
      <c r="K486" s="2"/>
    </row>
    <row r="487" spans="6:11" s="1" customFormat="1" x14ac:dyDescent="0.45">
      <c r="F487"/>
      <c r="G487"/>
      <c r="H487"/>
      <c r="K487" s="2"/>
    </row>
    <row r="488" spans="6:11" s="1" customFormat="1" x14ac:dyDescent="0.45">
      <c r="F488"/>
      <c r="G488"/>
      <c r="H488"/>
      <c r="K488" s="2"/>
    </row>
    <row r="489" spans="6:11" s="1" customFormat="1" x14ac:dyDescent="0.45">
      <c r="F489"/>
      <c r="G489"/>
      <c r="H489"/>
      <c r="K489" s="2"/>
    </row>
    <row r="490" spans="6:11" s="1" customFormat="1" x14ac:dyDescent="0.45">
      <c r="F490"/>
      <c r="G490"/>
      <c r="H490"/>
      <c r="K490" s="2"/>
    </row>
    <row r="491" spans="6:11" s="1" customFormat="1" x14ac:dyDescent="0.45">
      <c r="F491"/>
      <c r="G491"/>
      <c r="H491"/>
      <c r="K491" s="2"/>
    </row>
    <row r="492" spans="6:11" s="1" customFormat="1" x14ac:dyDescent="0.45">
      <c r="F492"/>
      <c r="G492"/>
      <c r="H492"/>
      <c r="K492" s="2"/>
    </row>
    <row r="493" spans="6:11" s="1" customFormat="1" x14ac:dyDescent="0.45">
      <c r="F493"/>
      <c r="G493"/>
      <c r="H493"/>
      <c r="K493" s="2"/>
    </row>
    <row r="494" spans="6:11" s="1" customFormat="1" x14ac:dyDescent="0.45">
      <c r="F494"/>
      <c r="G494"/>
      <c r="H494"/>
      <c r="K494" s="2"/>
    </row>
    <row r="495" spans="6:11" s="1" customFormat="1" x14ac:dyDescent="0.45">
      <c r="F495"/>
      <c r="G495"/>
      <c r="H495"/>
      <c r="K495" s="2"/>
    </row>
    <row r="496" spans="6:11" s="1" customFormat="1" x14ac:dyDescent="0.45">
      <c r="F496"/>
      <c r="G496"/>
      <c r="H496"/>
      <c r="K496" s="2"/>
    </row>
    <row r="497" spans="6:11" s="1" customFormat="1" x14ac:dyDescent="0.45">
      <c r="F497"/>
      <c r="G497"/>
      <c r="H497"/>
      <c r="K497" s="2"/>
    </row>
    <row r="498" spans="6:11" s="1" customFormat="1" x14ac:dyDescent="0.45">
      <c r="F498"/>
      <c r="G498"/>
      <c r="H498"/>
      <c r="K498" s="2"/>
    </row>
    <row r="499" spans="6:11" s="1" customFormat="1" x14ac:dyDescent="0.45">
      <c r="F499"/>
      <c r="G499"/>
      <c r="H499"/>
      <c r="K499" s="2"/>
    </row>
    <row r="500" spans="6:11" s="1" customFormat="1" x14ac:dyDescent="0.45">
      <c r="F500"/>
      <c r="G500"/>
      <c r="H500"/>
      <c r="K500" s="2"/>
    </row>
    <row r="501" spans="6:11" s="1" customFormat="1" x14ac:dyDescent="0.45">
      <c r="F501"/>
      <c r="G501"/>
      <c r="H501"/>
      <c r="K501" s="2"/>
    </row>
    <row r="502" spans="6:11" s="1" customFormat="1" x14ac:dyDescent="0.45">
      <c r="F502"/>
      <c r="G502"/>
      <c r="H502"/>
      <c r="K502" s="2"/>
    </row>
    <row r="503" spans="6:11" s="1" customFormat="1" x14ac:dyDescent="0.45">
      <c r="F503"/>
      <c r="G503"/>
      <c r="H503"/>
      <c r="K503" s="2"/>
    </row>
    <row r="504" spans="6:11" s="1" customFormat="1" x14ac:dyDescent="0.45">
      <c r="F504"/>
      <c r="G504"/>
      <c r="H504"/>
      <c r="K504" s="2"/>
    </row>
    <row r="505" spans="6:11" s="1" customFormat="1" x14ac:dyDescent="0.45">
      <c r="F505"/>
      <c r="G505"/>
      <c r="H505"/>
      <c r="K505" s="2"/>
    </row>
    <row r="506" spans="6:11" s="1" customFormat="1" x14ac:dyDescent="0.45">
      <c r="F506"/>
      <c r="G506"/>
      <c r="H506"/>
      <c r="K506" s="2"/>
    </row>
    <row r="507" spans="6:11" s="1" customFormat="1" x14ac:dyDescent="0.45">
      <c r="F507"/>
      <c r="G507"/>
      <c r="H507"/>
      <c r="K507" s="2"/>
    </row>
    <row r="508" spans="6:11" s="1" customFormat="1" x14ac:dyDescent="0.45">
      <c r="F508"/>
      <c r="G508"/>
      <c r="H508"/>
      <c r="K508" s="2"/>
    </row>
    <row r="509" spans="6:11" s="1" customFormat="1" x14ac:dyDescent="0.45">
      <c r="F509"/>
      <c r="G509"/>
      <c r="H509"/>
      <c r="K509" s="2"/>
    </row>
    <row r="510" spans="6:11" s="1" customFormat="1" x14ac:dyDescent="0.45">
      <c r="F510"/>
      <c r="G510"/>
      <c r="H510"/>
      <c r="K510" s="2"/>
    </row>
    <row r="511" spans="6:11" s="1" customFormat="1" x14ac:dyDescent="0.45">
      <c r="F511"/>
      <c r="G511"/>
      <c r="H511"/>
      <c r="K511" s="2"/>
    </row>
    <row r="512" spans="6:11" s="1" customFormat="1" x14ac:dyDescent="0.45">
      <c r="F512"/>
      <c r="G512"/>
      <c r="H512"/>
      <c r="K512" s="2"/>
    </row>
    <row r="513" spans="6:11" s="1" customFormat="1" x14ac:dyDescent="0.45">
      <c r="F513"/>
      <c r="G513"/>
      <c r="H513"/>
      <c r="K513" s="2"/>
    </row>
    <row r="514" spans="6:11" s="1" customFormat="1" x14ac:dyDescent="0.45">
      <c r="F514"/>
      <c r="G514"/>
      <c r="H514"/>
      <c r="K514" s="2"/>
    </row>
    <row r="515" spans="6:11" s="1" customFormat="1" x14ac:dyDescent="0.45">
      <c r="F515"/>
      <c r="G515"/>
      <c r="H515"/>
      <c r="K515" s="2"/>
    </row>
    <row r="516" spans="6:11" s="1" customFormat="1" x14ac:dyDescent="0.45">
      <c r="F516"/>
      <c r="G516"/>
      <c r="H516"/>
      <c r="K516" s="2"/>
    </row>
    <row r="517" spans="6:11" s="1" customFormat="1" x14ac:dyDescent="0.45">
      <c r="F517"/>
      <c r="G517"/>
      <c r="H517"/>
      <c r="K517" s="2"/>
    </row>
    <row r="518" spans="6:11" s="1" customFormat="1" x14ac:dyDescent="0.45">
      <c r="F518"/>
      <c r="G518"/>
      <c r="H518"/>
      <c r="K518" s="2"/>
    </row>
    <row r="519" spans="6:11" s="1" customFormat="1" x14ac:dyDescent="0.45">
      <c r="F519"/>
      <c r="G519"/>
      <c r="H519"/>
      <c r="K519" s="2"/>
    </row>
    <row r="520" spans="6:11" s="1" customFormat="1" x14ac:dyDescent="0.45">
      <c r="F520"/>
      <c r="G520"/>
      <c r="H520"/>
      <c r="K520" s="2"/>
    </row>
    <row r="521" spans="6:11" s="1" customFormat="1" x14ac:dyDescent="0.45">
      <c r="F521"/>
      <c r="G521"/>
      <c r="H521"/>
      <c r="K521" s="2"/>
    </row>
    <row r="522" spans="6:11" s="1" customFormat="1" x14ac:dyDescent="0.45">
      <c r="F522"/>
      <c r="G522"/>
      <c r="H522"/>
      <c r="K522" s="2"/>
    </row>
    <row r="523" spans="6:11" s="1" customFormat="1" x14ac:dyDescent="0.45">
      <c r="F523"/>
      <c r="G523"/>
      <c r="H523"/>
      <c r="K523" s="2"/>
    </row>
    <row r="524" spans="6:11" s="1" customFormat="1" x14ac:dyDescent="0.45">
      <c r="F524"/>
      <c r="G524"/>
      <c r="H524"/>
      <c r="K524" s="2"/>
    </row>
    <row r="525" spans="6:11" s="1" customFormat="1" x14ac:dyDescent="0.45">
      <c r="F525"/>
      <c r="G525"/>
      <c r="H525"/>
      <c r="K525" s="2"/>
    </row>
    <row r="526" spans="6:11" s="1" customFormat="1" x14ac:dyDescent="0.45">
      <c r="F526"/>
      <c r="G526"/>
      <c r="H526"/>
      <c r="K526" s="2"/>
    </row>
    <row r="527" spans="6:11" s="1" customFormat="1" x14ac:dyDescent="0.45">
      <c r="F527"/>
      <c r="G527"/>
      <c r="H527"/>
      <c r="K527" s="2"/>
    </row>
    <row r="528" spans="6:11" s="1" customFormat="1" x14ac:dyDescent="0.45">
      <c r="F528"/>
      <c r="G528"/>
      <c r="H528"/>
      <c r="K528" s="2"/>
    </row>
    <row r="529" spans="6:11" s="1" customFormat="1" x14ac:dyDescent="0.45">
      <c r="F529"/>
      <c r="G529"/>
      <c r="H529"/>
      <c r="K529" s="2"/>
    </row>
    <row r="530" spans="6:11" s="1" customFormat="1" x14ac:dyDescent="0.45">
      <c r="F530"/>
      <c r="G530"/>
      <c r="H530"/>
      <c r="K530" s="2"/>
    </row>
    <row r="531" spans="6:11" s="1" customFormat="1" x14ac:dyDescent="0.45">
      <c r="F531"/>
      <c r="G531"/>
      <c r="H531"/>
      <c r="K531" s="2"/>
    </row>
    <row r="532" spans="6:11" s="1" customFormat="1" x14ac:dyDescent="0.45">
      <c r="F532"/>
      <c r="G532"/>
      <c r="H532"/>
      <c r="K532" s="2"/>
    </row>
    <row r="533" spans="6:11" s="1" customFormat="1" x14ac:dyDescent="0.45">
      <c r="F533"/>
      <c r="G533"/>
      <c r="H533"/>
      <c r="K533" s="2"/>
    </row>
    <row r="534" spans="6:11" s="1" customFormat="1" x14ac:dyDescent="0.45">
      <c r="F534"/>
      <c r="G534"/>
      <c r="H534"/>
      <c r="K534" s="2"/>
    </row>
    <row r="535" spans="6:11" s="1" customFormat="1" x14ac:dyDescent="0.45">
      <c r="F535"/>
      <c r="G535"/>
      <c r="H535"/>
      <c r="K535" s="2"/>
    </row>
    <row r="536" spans="6:11" s="1" customFormat="1" x14ac:dyDescent="0.45">
      <c r="F536"/>
      <c r="G536"/>
      <c r="H536"/>
      <c r="K536" s="2"/>
    </row>
    <row r="537" spans="6:11" s="1" customFormat="1" x14ac:dyDescent="0.45">
      <c r="F537"/>
      <c r="G537"/>
      <c r="H537"/>
      <c r="K537" s="2"/>
    </row>
    <row r="538" spans="6:11" s="1" customFormat="1" x14ac:dyDescent="0.45">
      <c r="F538"/>
      <c r="G538"/>
      <c r="H538"/>
      <c r="K538" s="2"/>
    </row>
    <row r="539" spans="6:11" s="1" customFormat="1" x14ac:dyDescent="0.45">
      <c r="F539"/>
      <c r="G539"/>
      <c r="H539"/>
      <c r="K539" s="2"/>
    </row>
    <row r="540" spans="6:11" s="1" customFormat="1" x14ac:dyDescent="0.45">
      <c r="F540"/>
      <c r="G540"/>
      <c r="H540"/>
      <c r="K540" s="2"/>
    </row>
    <row r="541" spans="6:11" s="1" customFormat="1" x14ac:dyDescent="0.45">
      <c r="F541"/>
      <c r="G541"/>
      <c r="H541"/>
      <c r="K541" s="2"/>
    </row>
    <row r="542" spans="6:11" s="1" customFormat="1" x14ac:dyDescent="0.45">
      <c r="F542"/>
      <c r="G542"/>
      <c r="H542"/>
      <c r="K542" s="2"/>
    </row>
    <row r="543" spans="6:11" s="1" customFormat="1" x14ac:dyDescent="0.45">
      <c r="F543"/>
      <c r="G543"/>
      <c r="H543"/>
      <c r="K543" s="2"/>
    </row>
    <row r="544" spans="6:11" s="1" customFormat="1" x14ac:dyDescent="0.45">
      <c r="F544"/>
      <c r="G544"/>
      <c r="H544"/>
      <c r="K544" s="2"/>
    </row>
    <row r="545" spans="6:11" s="1" customFormat="1" x14ac:dyDescent="0.45">
      <c r="F545"/>
      <c r="G545"/>
      <c r="H545"/>
      <c r="K545" s="2"/>
    </row>
    <row r="546" spans="6:11" s="1" customFormat="1" x14ac:dyDescent="0.45">
      <c r="F546"/>
      <c r="G546"/>
      <c r="H546"/>
      <c r="K546" s="2"/>
    </row>
    <row r="547" spans="6:11" s="1" customFormat="1" x14ac:dyDescent="0.45">
      <c r="F547"/>
      <c r="G547"/>
      <c r="H547"/>
      <c r="K547" s="2"/>
    </row>
    <row r="548" spans="6:11" s="1" customFormat="1" x14ac:dyDescent="0.45">
      <c r="F548"/>
      <c r="G548"/>
      <c r="H548"/>
      <c r="K548" s="2"/>
    </row>
    <row r="549" spans="6:11" s="1" customFormat="1" x14ac:dyDescent="0.45">
      <c r="F549"/>
      <c r="G549"/>
      <c r="H549"/>
      <c r="K549" s="2"/>
    </row>
    <row r="550" spans="6:11" s="1" customFormat="1" x14ac:dyDescent="0.45">
      <c r="F550"/>
      <c r="G550"/>
      <c r="H550"/>
      <c r="K550" s="2"/>
    </row>
    <row r="551" spans="6:11" s="1" customFormat="1" x14ac:dyDescent="0.45">
      <c r="F551"/>
      <c r="G551"/>
      <c r="H551"/>
      <c r="K551" s="2"/>
    </row>
    <row r="552" spans="6:11" s="1" customFormat="1" x14ac:dyDescent="0.45">
      <c r="F552"/>
      <c r="G552"/>
      <c r="H552"/>
      <c r="K552" s="2"/>
    </row>
    <row r="553" spans="6:11" s="1" customFormat="1" x14ac:dyDescent="0.45">
      <c r="F553"/>
      <c r="G553"/>
      <c r="H553"/>
      <c r="K553" s="2"/>
    </row>
    <row r="554" spans="6:11" s="1" customFormat="1" x14ac:dyDescent="0.45">
      <c r="F554"/>
      <c r="G554"/>
      <c r="H554"/>
      <c r="K554" s="2"/>
    </row>
    <row r="555" spans="6:11" s="1" customFormat="1" x14ac:dyDescent="0.45">
      <c r="F555"/>
      <c r="G555"/>
      <c r="H555"/>
      <c r="K555" s="2"/>
    </row>
    <row r="556" spans="6:11" s="1" customFormat="1" x14ac:dyDescent="0.45">
      <c r="F556"/>
      <c r="G556"/>
      <c r="H556"/>
      <c r="K556" s="2"/>
    </row>
    <row r="557" spans="6:11" s="1" customFormat="1" x14ac:dyDescent="0.45">
      <c r="F557"/>
      <c r="G557"/>
      <c r="H557"/>
      <c r="K557" s="2"/>
    </row>
    <row r="558" spans="6:11" s="1" customFormat="1" x14ac:dyDescent="0.45">
      <c r="F558"/>
      <c r="G558"/>
      <c r="H558"/>
      <c r="K558" s="2"/>
    </row>
    <row r="559" spans="6:11" s="1" customFormat="1" x14ac:dyDescent="0.45">
      <c r="F559"/>
      <c r="G559"/>
      <c r="H559"/>
      <c r="K559" s="2"/>
    </row>
    <row r="560" spans="6:11" s="1" customFormat="1" x14ac:dyDescent="0.45">
      <c r="F560"/>
      <c r="G560"/>
      <c r="H560"/>
      <c r="K560" s="2"/>
    </row>
    <row r="561" spans="6:11" s="1" customFormat="1" x14ac:dyDescent="0.45">
      <c r="F561"/>
      <c r="G561"/>
      <c r="H561"/>
      <c r="K561" s="2"/>
    </row>
    <row r="562" spans="6:11" s="1" customFormat="1" x14ac:dyDescent="0.45">
      <c r="F562"/>
      <c r="G562"/>
      <c r="H562"/>
      <c r="K562" s="2"/>
    </row>
    <row r="563" spans="6:11" s="1" customFormat="1" x14ac:dyDescent="0.45">
      <c r="F563"/>
      <c r="G563"/>
      <c r="H563"/>
      <c r="K563" s="2"/>
    </row>
    <row r="564" spans="6:11" s="1" customFormat="1" x14ac:dyDescent="0.45">
      <c r="F564"/>
      <c r="G564"/>
      <c r="H564"/>
      <c r="K564" s="2"/>
    </row>
    <row r="565" spans="6:11" s="1" customFormat="1" x14ac:dyDescent="0.45">
      <c r="F565"/>
      <c r="G565"/>
      <c r="H565"/>
      <c r="K565" s="2"/>
    </row>
    <row r="566" spans="6:11" s="1" customFormat="1" x14ac:dyDescent="0.45">
      <c r="F566"/>
      <c r="G566"/>
      <c r="H566"/>
      <c r="K566" s="2"/>
    </row>
    <row r="567" spans="6:11" s="1" customFormat="1" x14ac:dyDescent="0.45">
      <c r="F567"/>
      <c r="G567"/>
      <c r="H567"/>
      <c r="K567" s="2"/>
    </row>
    <row r="568" spans="6:11" s="1" customFormat="1" x14ac:dyDescent="0.45">
      <c r="F568"/>
      <c r="G568"/>
      <c r="H568"/>
      <c r="K568" s="2"/>
    </row>
    <row r="569" spans="6:11" s="1" customFormat="1" x14ac:dyDescent="0.45">
      <c r="F569"/>
      <c r="G569"/>
      <c r="H569"/>
      <c r="K569" s="2"/>
    </row>
    <row r="570" spans="6:11" s="1" customFormat="1" x14ac:dyDescent="0.45">
      <c r="F570"/>
      <c r="G570"/>
      <c r="H570"/>
      <c r="K570" s="2"/>
    </row>
    <row r="571" spans="6:11" s="1" customFormat="1" x14ac:dyDescent="0.45">
      <c r="F571"/>
      <c r="G571"/>
      <c r="H571"/>
      <c r="K571" s="2"/>
    </row>
    <row r="572" spans="6:11" s="1" customFormat="1" x14ac:dyDescent="0.45">
      <c r="F572"/>
      <c r="G572"/>
      <c r="H572"/>
      <c r="K572" s="2"/>
    </row>
    <row r="573" spans="6:11" s="1" customFormat="1" x14ac:dyDescent="0.45">
      <c r="F573"/>
      <c r="G573"/>
      <c r="H573"/>
      <c r="K573" s="2"/>
    </row>
    <row r="574" spans="6:11" s="1" customFormat="1" x14ac:dyDescent="0.45">
      <c r="F574"/>
      <c r="G574"/>
      <c r="H574"/>
      <c r="K574" s="2"/>
    </row>
    <row r="575" spans="6:11" s="1" customFormat="1" x14ac:dyDescent="0.45">
      <c r="F575"/>
      <c r="G575"/>
      <c r="H575"/>
      <c r="K575" s="2"/>
    </row>
    <row r="576" spans="6:11" s="1" customFormat="1" x14ac:dyDescent="0.45">
      <c r="F576"/>
      <c r="G576"/>
      <c r="H576"/>
      <c r="K576" s="2"/>
    </row>
    <row r="577" spans="6:11" s="1" customFormat="1" x14ac:dyDescent="0.45">
      <c r="F577"/>
      <c r="G577"/>
      <c r="H577"/>
      <c r="K577" s="2"/>
    </row>
    <row r="578" spans="6:11" s="1" customFormat="1" x14ac:dyDescent="0.45">
      <c r="F578"/>
      <c r="G578"/>
      <c r="H578"/>
      <c r="K578" s="2"/>
    </row>
    <row r="579" spans="6:11" s="1" customFormat="1" x14ac:dyDescent="0.45">
      <c r="F579"/>
      <c r="G579"/>
      <c r="H579"/>
      <c r="K579" s="2"/>
    </row>
    <row r="580" spans="6:11" s="1" customFormat="1" x14ac:dyDescent="0.45">
      <c r="F580"/>
      <c r="G580"/>
      <c r="H580"/>
      <c r="K580" s="2"/>
    </row>
    <row r="581" spans="6:11" s="1" customFormat="1" x14ac:dyDescent="0.45">
      <c r="F581"/>
      <c r="G581"/>
      <c r="H581"/>
      <c r="K581" s="2"/>
    </row>
    <row r="582" spans="6:11" s="1" customFormat="1" x14ac:dyDescent="0.45">
      <c r="F582"/>
      <c r="G582"/>
      <c r="H582"/>
      <c r="K582" s="2"/>
    </row>
    <row r="583" spans="6:11" s="1" customFormat="1" x14ac:dyDescent="0.45">
      <c r="F583"/>
      <c r="G583"/>
      <c r="H583"/>
      <c r="K583" s="2"/>
    </row>
    <row r="584" spans="6:11" s="1" customFormat="1" x14ac:dyDescent="0.45">
      <c r="F584"/>
      <c r="G584"/>
      <c r="H584"/>
      <c r="K584" s="2"/>
    </row>
    <row r="585" spans="6:11" s="1" customFormat="1" x14ac:dyDescent="0.45">
      <c r="F585"/>
      <c r="G585"/>
      <c r="H585"/>
      <c r="K585" s="2"/>
    </row>
    <row r="586" spans="6:11" s="1" customFormat="1" x14ac:dyDescent="0.45">
      <c r="F586"/>
      <c r="G586"/>
      <c r="H586"/>
      <c r="K586" s="2"/>
    </row>
    <row r="587" spans="6:11" s="1" customFormat="1" x14ac:dyDescent="0.45">
      <c r="F587"/>
      <c r="G587"/>
      <c r="H587"/>
      <c r="K587" s="2"/>
    </row>
    <row r="588" spans="6:11" s="1" customFormat="1" x14ac:dyDescent="0.45">
      <c r="F588"/>
      <c r="G588"/>
      <c r="H588"/>
      <c r="K588" s="2"/>
    </row>
    <row r="589" spans="6:11" s="1" customFormat="1" x14ac:dyDescent="0.45">
      <c r="F589"/>
      <c r="G589"/>
      <c r="H589"/>
      <c r="K589" s="2"/>
    </row>
    <row r="590" spans="6:11" s="1" customFormat="1" x14ac:dyDescent="0.45">
      <c r="F590"/>
      <c r="G590"/>
      <c r="H590"/>
      <c r="K590" s="2"/>
    </row>
    <row r="591" spans="6:11" s="1" customFormat="1" x14ac:dyDescent="0.45">
      <c r="F591"/>
      <c r="G591"/>
      <c r="H591"/>
      <c r="K591" s="2"/>
    </row>
    <row r="592" spans="6:11" s="1" customFormat="1" x14ac:dyDescent="0.45">
      <c r="F592"/>
      <c r="G592"/>
      <c r="H592"/>
      <c r="K592" s="2"/>
    </row>
    <row r="593" spans="6:11" s="1" customFormat="1" x14ac:dyDescent="0.45">
      <c r="F593"/>
      <c r="G593"/>
      <c r="H593"/>
      <c r="K593" s="2"/>
    </row>
    <row r="594" spans="6:11" s="1" customFormat="1" x14ac:dyDescent="0.45">
      <c r="F594"/>
      <c r="G594"/>
      <c r="H594"/>
      <c r="K594" s="2"/>
    </row>
    <row r="595" spans="6:11" s="1" customFormat="1" x14ac:dyDescent="0.45">
      <c r="F595"/>
      <c r="G595"/>
      <c r="H595"/>
      <c r="K595" s="2"/>
    </row>
    <row r="596" spans="6:11" s="1" customFormat="1" x14ac:dyDescent="0.45">
      <c r="F596"/>
      <c r="G596"/>
      <c r="H596"/>
      <c r="K596" s="2"/>
    </row>
    <row r="597" spans="6:11" s="1" customFormat="1" x14ac:dyDescent="0.45">
      <c r="F597"/>
      <c r="G597"/>
      <c r="H597"/>
      <c r="K597" s="2"/>
    </row>
    <row r="598" spans="6:11" s="1" customFormat="1" x14ac:dyDescent="0.45">
      <c r="F598"/>
      <c r="G598"/>
      <c r="H598"/>
      <c r="K598" s="2"/>
    </row>
    <row r="599" spans="6:11" s="1" customFormat="1" x14ac:dyDescent="0.45">
      <c r="F599"/>
      <c r="G599"/>
      <c r="H599"/>
      <c r="K599" s="2"/>
    </row>
    <row r="600" spans="6:11" s="1" customFormat="1" x14ac:dyDescent="0.45">
      <c r="F600"/>
      <c r="G600"/>
      <c r="H600"/>
      <c r="K600" s="2"/>
    </row>
    <row r="601" spans="6:11" s="1" customFormat="1" x14ac:dyDescent="0.45">
      <c r="F601"/>
      <c r="G601"/>
      <c r="H601"/>
      <c r="K601" s="2"/>
    </row>
    <row r="602" spans="6:11" s="1" customFormat="1" x14ac:dyDescent="0.45">
      <c r="F602"/>
      <c r="G602"/>
      <c r="H602"/>
      <c r="K602" s="2"/>
    </row>
    <row r="603" spans="6:11" s="1" customFormat="1" x14ac:dyDescent="0.45">
      <c r="F603"/>
      <c r="G603"/>
      <c r="H603"/>
      <c r="K603" s="2"/>
    </row>
    <row r="604" spans="6:11" s="1" customFormat="1" x14ac:dyDescent="0.45">
      <c r="F604"/>
      <c r="G604"/>
      <c r="H604"/>
      <c r="K604" s="2"/>
    </row>
    <row r="605" spans="6:11" s="1" customFormat="1" x14ac:dyDescent="0.45">
      <c r="F605"/>
      <c r="G605"/>
      <c r="H605"/>
      <c r="K605" s="2"/>
    </row>
    <row r="606" spans="6:11" s="1" customFormat="1" x14ac:dyDescent="0.45">
      <c r="F606"/>
      <c r="G606"/>
      <c r="H606"/>
      <c r="K606" s="2"/>
    </row>
    <row r="607" spans="6:11" s="1" customFormat="1" x14ac:dyDescent="0.45">
      <c r="F607"/>
      <c r="G607"/>
      <c r="H607"/>
      <c r="K607" s="2"/>
    </row>
    <row r="608" spans="6:11" s="1" customFormat="1" x14ac:dyDescent="0.45">
      <c r="F608"/>
      <c r="G608"/>
      <c r="H608"/>
      <c r="K608" s="2"/>
    </row>
    <row r="609" spans="6:11" s="1" customFormat="1" x14ac:dyDescent="0.45">
      <c r="F609"/>
      <c r="G609"/>
      <c r="H609"/>
      <c r="K609" s="2"/>
    </row>
    <row r="610" spans="6:11" s="1" customFormat="1" x14ac:dyDescent="0.45">
      <c r="F610"/>
      <c r="G610"/>
      <c r="H610"/>
      <c r="K610" s="2"/>
    </row>
    <row r="611" spans="6:11" s="1" customFormat="1" x14ac:dyDescent="0.45">
      <c r="F611"/>
      <c r="G611"/>
      <c r="H611"/>
      <c r="K611" s="2"/>
    </row>
    <row r="612" spans="6:11" s="1" customFormat="1" x14ac:dyDescent="0.45">
      <c r="F612"/>
      <c r="G612"/>
      <c r="H612"/>
      <c r="K612" s="2"/>
    </row>
    <row r="613" spans="6:11" s="1" customFormat="1" x14ac:dyDescent="0.45">
      <c r="F613"/>
      <c r="G613"/>
      <c r="H613"/>
      <c r="K613" s="2"/>
    </row>
    <row r="614" spans="6:11" s="1" customFormat="1" x14ac:dyDescent="0.45">
      <c r="F614"/>
      <c r="G614"/>
      <c r="H614"/>
      <c r="K614" s="2"/>
    </row>
    <row r="615" spans="6:11" s="1" customFormat="1" x14ac:dyDescent="0.45">
      <c r="F615"/>
      <c r="G615"/>
      <c r="H615"/>
      <c r="K615" s="2"/>
    </row>
    <row r="616" spans="6:11" s="1" customFormat="1" x14ac:dyDescent="0.45">
      <c r="F616"/>
      <c r="G616"/>
      <c r="H616"/>
      <c r="K616" s="2"/>
    </row>
    <row r="617" spans="6:11" s="1" customFormat="1" x14ac:dyDescent="0.45">
      <c r="F617"/>
      <c r="G617"/>
      <c r="H617"/>
      <c r="K617" s="2"/>
    </row>
    <row r="618" spans="6:11" s="1" customFormat="1" x14ac:dyDescent="0.45">
      <c r="F618"/>
      <c r="G618"/>
      <c r="H618"/>
      <c r="K618" s="2"/>
    </row>
    <row r="619" spans="6:11" s="1" customFormat="1" x14ac:dyDescent="0.45">
      <c r="F619"/>
      <c r="G619"/>
      <c r="H619"/>
      <c r="K619" s="2"/>
    </row>
    <row r="620" spans="6:11" s="1" customFormat="1" x14ac:dyDescent="0.45">
      <c r="F620"/>
      <c r="G620"/>
      <c r="H620"/>
      <c r="K620" s="2"/>
    </row>
    <row r="621" spans="6:11" s="1" customFormat="1" x14ac:dyDescent="0.45">
      <c r="F621"/>
      <c r="G621"/>
      <c r="H621"/>
      <c r="K621" s="2"/>
    </row>
    <row r="622" spans="6:11" s="1" customFormat="1" x14ac:dyDescent="0.45">
      <c r="F622"/>
      <c r="G622"/>
      <c r="H622"/>
      <c r="K622" s="2"/>
    </row>
    <row r="623" spans="6:11" s="1" customFormat="1" x14ac:dyDescent="0.45">
      <c r="F623"/>
      <c r="G623"/>
      <c r="H623"/>
      <c r="K623" s="2"/>
    </row>
    <row r="624" spans="6:11" s="1" customFormat="1" x14ac:dyDescent="0.45">
      <c r="F624"/>
      <c r="G624"/>
      <c r="H624"/>
      <c r="K624" s="2"/>
    </row>
    <row r="625" spans="6:11" s="1" customFormat="1" x14ac:dyDescent="0.45">
      <c r="F625"/>
      <c r="G625"/>
      <c r="H625"/>
      <c r="K625" s="2"/>
    </row>
    <row r="626" spans="6:11" s="1" customFormat="1" x14ac:dyDescent="0.45">
      <c r="F626"/>
      <c r="G626"/>
      <c r="H626"/>
      <c r="K626" s="2"/>
    </row>
    <row r="627" spans="6:11" s="1" customFormat="1" x14ac:dyDescent="0.45">
      <c r="F627"/>
      <c r="G627"/>
      <c r="H627"/>
      <c r="K627" s="2"/>
    </row>
    <row r="628" spans="6:11" s="1" customFormat="1" x14ac:dyDescent="0.45">
      <c r="F628"/>
      <c r="G628"/>
      <c r="H628"/>
      <c r="K628" s="2"/>
    </row>
    <row r="629" spans="6:11" s="1" customFormat="1" x14ac:dyDescent="0.45">
      <c r="F629"/>
      <c r="G629"/>
      <c r="H629"/>
      <c r="K629" s="2"/>
    </row>
    <row r="630" spans="6:11" s="1" customFormat="1" x14ac:dyDescent="0.45">
      <c r="F630"/>
      <c r="G630"/>
      <c r="H630"/>
      <c r="K630" s="2"/>
    </row>
    <row r="631" spans="6:11" s="1" customFormat="1" x14ac:dyDescent="0.45">
      <c r="F631"/>
      <c r="G631"/>
      <c r="H631"/>
      <c r="K631" s="2"/>
    </row>
    <row r="632" spans="6:11" s="1" customFormat="1" x14ac:dyDescent="0.45">
      <c r="F632"/>
      <c r="G632"/>
      <c r="H632"/>
      <c r="K632" s="2"/>
    </row>
    <row r="633" spans="6:11" s="1" customFormat="1" x14ac:dyDescent="0.45">
      <c r="F633"/>
      <c r="G633"/>
      <c r="H633"/>
      <c r="K633" s="2"/>
    </row>
    <row r="634" spans="6:11" s="1" customFormat="1" x14ac:dyDescent="0.45">
      <c r="F634"/>
      <c r="G634"/>
      <c r="H634"/>
      <c r="K634" s="2"/>
    </row>
    <row r="635" spans="6:11" s="1" customFormat="1" x14ac:dyDescent="0.45">
      <c r="F635"/>
      <c r="G635"/>
      <c r="H635"/>
      <c r="K635" s="2"/>
    </row>
    <row r="636" spans="6:11" s="1" customFormat="1" x14ac:dyDescent="0.45">
      <c r="F636"/>
      <c r="G636"/>
      <c r="H636"/>
      <c r="K636" s="2"/>
    </row>
    <row r="637" spans="6:11" s="1" customFormat="1" x14ac:dyDescent="0.45">
      <c r="F637"/>
      <c r="G637"/>
      <c r="H637"/>
      <c r="K637" s="2"/>
    </row>
    <row r="638" spans="6:11" s="1" customFormat="1" x14ac:dyDescent="0.45">
      <c r="F638"/>
      <c r="G638"/>
      <c r="H638"/>
      <c r="K638" s="2"/>
    </row>
    <row r="639" spans="6:11" s="1" customFormat="1" x14ac:dyDescent="0.45">
      <c r="F639"/>
      <c r="G639"/>
      <c r="H639"/>
      <c r="K639" s="2"/>
    </row>
    <row r="640" spans="6:11" s="1" customFormat="1" x14ac:dyDescent="0.45">
      <c r="F640"/>
      <c r="G640"/>
      <c r="H640"/>
      <c r="K640" s="2"/>
    </row>
    <row r="641" spans="6:11" s="1" customFormat="1" x14ac:dyDescent="0.45">
      <c r="F641"/>
      <c r="G641"/>
      <c r="H641"/>
      <c r="K641" s="2"/>
    </row>
    <row r="642" spans="6:11" s="1" customFormat="1" x14ac:dyDescent="0.45">
      <c r="F642"/>
      <c r="G642"/>
      <c r="H642"/>
      <c r="K642" s="2"/>
    </row>
    <row r="643" spans="6:11" s="1" customFormat="1" x14ac:dyDescent="0.45">
      <c r="F643"/>
      <c r="G643"/>
      <c r="H643"/>
      <c r="K643" s="2"/>
    </row>
    <row r="644" spans="6:11" s="1" customFormat="1" x14ac:dyDescent="0.45">
      <c r="F644"/>
      <c r="G644"/>
      <c r="H644"/>
      <c r="K644" s="2"/>
    </row>
    <row r="645" spans="6:11" s="1" customFormat="1" x14ac:dyDescent="0.45">
      <c r="F645"/>
      <c r="G645"/>
      <c r="H645"/>
      <c r="K645" s="2"/>
    </row>
    <row r="646" spans="6:11" s="1" customFormat="1" x14ac:dyDescent="0.45">
      <c r="F646"/>
      <c r="G646"/>
      <c r="H646"/>
      <c r="K646" s="2"/>
    </row>
    <row r="647" spans="6:11" s="1" customFormat="1" x14ac:dyDescent="0.45">
      <c r="F647"/>
      <c r="G647"/>
      <c r="H647"/>
      <c r="K647" s="2"/>
    </row>
    <row r="648" spans="6:11" s="1" customFormat="1" x14ac:dyDescent="0.45">
      <c r="F648"/>
      <c r="G648"/>
      <c r="H648"/>
      <c r="K648" s="2"/>
    </row>
    <row r="649" spans="6:11" s="1" customFormat="1" x14ac:dyDescent="0.45">
      <c r="F649"/>
      <c r="G649"/>
      <c r="H649"/>
      <c r="K649" s="2"/>
    </row>
    <row r="650" spans="6:11" s="1" customFormat="1" x14ac:dyDescent="0.45">
      <c r="F650"/>
      <c r="G650"/>
      <c r="H650"/>
      <c r="K650" s="2"/>
    </row>
    <row r="651" spans="6:11" s="1" customFormat="1" x14ac:dyDescent="0.45">
      <c r="F651"/>
      <c r="G651"/>
      <c r="H651"/>
      <c r="K651" s="2"/>
    </row>
    <row r="652" spans="6:11" s="1" customFormat="1" x14ac:dyDescent="0.45">
      <c r="F652"/>
      <c r="G652"/>
      <c r="H652"/>
      <c r="K652" s="2"/>
    </row>
    <row r="653" spans="6:11" s="1" customFormat="1" x14ac:dyDescent="0.45">
      <c r="F653"/>
      <c r="G653"/>
      <c r="H653"/>
      <c r="K653" s="2"/>
    </row>
    <row r="654" spans="6:11" s="1" customFormat="1" x14ac:dyDescent="0.45">
      <c r="F654"/>
      <c r="G654"/>
      <c r="H654"/>
      <c r="K654" s="2"/>
    </row>
    <row r="655" spans="6:11" s="1" customFormat="1" x14ac:dyDescent="0.45">
      <c r="F655"/>
      <c r="G655"/>
      <c r="H655"/>
      <c r="K655" s="2"/>
    </row>
    <row r="656" spans="6:11" s="1" customFormat="1" x14ac:dyDescent="0.45">
      <c r="F656"/>
      <c r="G656"/>
      <c r="H656"/>
      <c r="K656" s="2"/>
    </row>
    <row r="657" spans="6:11" s="1" customFormat="1" x14ac:dyDescent="0.45">
      <c r="F657"/>
      <c r="G657"/>
      <c r="H657"/>
      <c r="K657" s="2"/>
    </row>
    <row r="658" spans="6:11" s="1" customFormat="1" x14ac:dyDescent="0.45">
      <c r="F658"/>
      <c r="G658"/>
      <c r="H658"/>
      <c r="K658" s="2"/>
    </row>
    <row r="659" spans="6:11" s="1" customFormat="1" x14ac:dyDescent="0.45">
      <c r="F659"/>
      <c r="G659"/>
      <c r="H659"/>
      <c r="K659" s="2"/>
    </row>
    <row r="660" spans="6:11" s="1" customFormat="1" x14ac:dyDescent="0.45">
      <c r="F660"/>
      <c r="G660"/>
      <c r="H660"/>
      <c r="K660" s="2"/>
    </row>
    <row r="661" spans="6:11" s="1" customFormat="1" x14ac:dyDescent="0.45">
      <c r="F661"/>
      <c r="G661"/>
      <c r="H661"/>
      <c r="K661" s="2"/>
    </row>
    <row r="662" spans="6:11" s="1" customFormat="1" x14ac:dyDescent="0.45">
      <c r="F662"/>
      <c r="G662"/>
      <c r="H662"/>
      <c r="K662" s="2"/>
    </row>
    <row r="663" spans="6:11" s="1" customFormat="1" x14ac:dyDescent="0.45">
      <c r="F663"/>
      <c r="G663"/>
      <c r="H663"/>
      <c r="K663" s="2"/>
    </row>
    <row r="664" spans="6:11" s="1" customFormat="1" x14ac:dyDescent="0.45">
      <c r="F664"/>
      <c r="G664"/>
      <c r="H664"/>
      <c r="K664" s="2"/>
    </row>
    <row r="665" spans="6:11" s="1" customFormat="1" x14ac:dyDescent="0.45">
      <c r="F665"/>
      <c r="G665"/>
      <c r="H665"/>
      <c r="K665" s="2"/>
    </row>
    <row r="666" spans="6:11" s="1" customFormat="1" x14ac:dyDescent="0.45">
      <c r="F666"/>
      <c r="G666"/>
      <c r="H666"/>
      <c r="K666" s="2"/>
    </row>
    <row r="667" spans="6:11" s="1" customFormat="1" x14ac:dyDescent="0.45">
      <c r="F667"/>
      <c r="G667"/>
      <c r="H667"/>
      <c r="K667" s="2"/>
    </row>
    <row r="668" spans="6:11" s="1" customFormat="1" x14ac:dyDescent="0.45">
      <c r="F668"/>
      <c r="G668"/>
      <c r="H668"/>
      <c r="K668" s="2"/>
    </row>
    <row r="669" spans="6:11" s="1" customFormat="1" x14ac:dyDescent="0.45">
      <c r="F669"/>
      <c r="G669"/>
      <c r="H669"/>
      <c r="K669" s="2"/>
    </row>
    <row r="670" spans="6:11" s="1" customFormat="1" x14ac:dyDescent="0.45">
      <c r="F670"/>
      <c r="G670"/>
      <c r="H670"/>
      <c r="K670" s="2"/>
    </row>
    <row r="671" spans="6:11" s="1" customFormat="1" x14ac:dyDescent="0.45">
      <c r="F671"/>
      <c r="G671"/>
      <c r="H671"/>
      <c r="K671" s="2"/>
    </row>
    <row r="672" spans="6:11" s="1" customFormat="1" x14ac:dyDescent="0.45">
      <c r="F672"/>
      <c r="G672"/>
      <c r="H672"/>
      <c r="K672" s="2"/>
    </row>
    <row r="673" spans="6:11" s="1" customFormat="1" x14ac:dyDescent="0.45">
      <c r="F673"/>
      <c r="G673"/>
      <c r="H673"/>
      <c r="K673" s="2"/>
    </row>
    <row r="674" spans="6:11" s="1" customFormat="1" x14ac:dyDescent="0.45">
      <c r="F674"/>
      <c r="G674"/>
      <c r="H674"/>
      <c r="K674" s="2"/>
    </row>
    <row r="675" spans="6:11" s="1" customFormat="1" x14ac:dyDescent="0.45">
      <c r="F675"/>
      <c r="G675"/>
      <c r="H675"/>
      <c r="K675" s="2"/>
    </row>
    <row r="676" spans="6:11" s="1" customFormat="1" x14ac:dyDescent="0.45">
      <c r="F676"/>
      <c r="G676"/>
      <c r="H676"/>
      <c r="K676" s="2"/>
    </row>
    <row r="677" spans="6:11" s="1" customFormat="1" x14ac:dyDescent="0.45">
      <c r="F677"/>
      <c r="G677"/>
      <c r="H677"/>
      <c r="K677" s="2"/>
    </row>
    <row r="678" spans="6:11" s="1" customFormat="1" x14ac:dyDescent="0.45">
      <c r="F678"/>
      <c r="G678"/>
      <c r="H678"/>
      <c r="K678" s="2"/>
    </row>
    <row r="679" spans="6:11" s="1" customFormat="1" x14ac:dyDescent="0.45">
      <c r="F679"/>
      <c r="G679"/>
      <c r="H679"/>
      <c r="K679" s="2"/>
    </row>
    <row r="680" spans="6:11" s="1" customFormat="1" x14ac:dyDescent="0.45">
      <c r="F680"/>
      <c r="G680"/>
      <c r="H680"/>
      <c r="K680" s="2"/>
    </row>
    <row r="681" spans="6:11" s="1" customFormat="1" x14ac:dyDescent="0.45">
      <c r="F681"/>
      <c r="G681"/>
      <c r="H681"/>
      <c r="K681" s="2"/>
    </row>
    <row r="682" spans="6:11" s="1" customFormat="1" x14ac:dyDescent="0.45">
      <c r="F682"/>
      <c r="G682"/>
      <c r="H682"/>
      <c r="K682" s="2"/>
    </row>
    <row r="683" spans="6:11" s="1" customFormat="1" x14ac:dyDescent="0.45">
      <c r="F683"/>
      <c r="G683"/>
      <c r="H683"/>
      <c r="K683" s="2"/>
    </row>
    <row r="684" spans="6:11" s="1" customFormat="1" x14ac:dyDescent="0.45">
      <c r="F684"/>
      <c r="G684"/>
      <c r="H684"/>
      <c r="K684" s="2"/>
    </row>
    <row r="685" spans="6:11" s="1" customFormat="1" x14ac:dyDescent="0.45">
      <c r="F685"/>
      <c r="G685"/>
      <c r="H685"/>
      <c r="K685" s="2"/>
    </row>
    <row r="686" spans="6:11" s="1" customFormat="1" x14ac:dyDescent="0.45">
      <c r="F686"/>
      <c r="G686"/>
      <c r="H686"/>
      <c r="K686" s="2"/>
    </row>
    <row r="687" spans="6:11" s="1" customFormat="1" x14ac:dyDescent="0.45">
      <c r="F687"/>
      <c r="G687"/>
      <c r="H687"/>
      <c r="K687" s="2"/>
    </row>
    <row r="688" spans="6:11" s="1" customFormat="1" x14ac:dyDescent="0.45">
      <c r="F688"/>
      <c r="G688"/>
      <c r="H688"/>
      <c r="K688" s="2"/>
    </row>
    <row r="689" spans="6:11" s="1" customFormat="1" x14ac:dyDescent="0.45">
      <c r="F689"/>
      <c r="G689"/>
      <c r="H689"/>
      <c r="K689" s="2"/>
    </row>
    <row r="690" spans="6:11" s="1" customFormat="1" x14ac:dyDescent="0.45">
      <c r="F690"/>
      <c r="G690"/>
      <c r="H690"/>
      <c r="K690" s="2"/>
    </row>
    <row r="691" spans="6:11" s="1" customFormat="1" x14ac:dyDescent="0.45">
      <c r="F691"/>
      <c r="G691"/>
      <c r="H691"/>
      <c r="K691" s="2"/>
    </row>
    <row r="692" spans="6:11" s="1" customFormat="1" x14ac:dyDescent="0.45">
      <c r="F692"/>
      <c r="G692"/>
      <c r="H692"/>
      <c r="K692" s="2"/>
    </row>
    <row r="693" spans="6:11" s="1" customFormat="1" x14ac:dyDescent="0.45">
      <c r="F693"/>
      <c r="G693"/>
      <c r="H693"/>
      <c r="K693" s="2"/>
    </row>
    <row r="694" spans="6:11" s="1" customFormat="1" x14ac:dyDescent="0.45">
      <c r="F694"/>
      <c r="G694"/>
      <c r="H694"/>
      <c r="K694" s="2"/>
    </row>
    <row r="695" spans="6:11" s="1" customFormat="1" x14ac:dyDescent="0.45">
      <c r="F695"/>
      <c r="G695"/>
      <c r="H695"/>
      <c r="K695" s="2"/>
    </row>
    <row r="696" spans="6:11" s="1" customFormat="1" x14ac:dyDescent="0.45">
      <c r="F696"/>
      <c r="G696"/>
      <c r="H696"/>
      <c r="K696" s="2"/>
    </row>
    <row r="697" spans="6:11" s="1" customFormat="1" x14ac:dyDescent="0.45">
      <c r="F697"/>
      <c r="G697"/>
      <c r="H697"/>
      <c r="K697" s="2"/>
    </row>
    <row r="698" spans="6:11" s="1" customFormat="1" x14ac:dyDescent="0.45">
      <c r="F698"/>
      <c r="G698"/>
      <c r="H698"/>
      <c r="K698" s="2"/>
    </row>
    <row r="699" spans="6:11" s="1" customFormat="1" x14ac:dyDescent="0.45">
      <c r="F699"/>
      <c r="G699"/>
      <c r="H699"/>
      <c r="K699" s="2"/>
    </row>
    <row r="700" spans="6:11" s="1" customFormat="1" x14ac:dyDescent="0.45">
      <c r="F700"/>
      <c r="G700"/>
      <c r="H700"/>
      <c r="K700" s="2"/>
    </row>
    <row r="701" spans="6:11" s="1" customFormat="1" x14ac:dyDescent="0.45">
      <c r="F701"/>
      <c r="G701"/>
      <c r="H701"/>
      <c r="K701" s="2"/>
    </row>
    <row r="702" spans="6:11" s="1" customFormat="1" x14ac:dyDescent="0.45">
      <c r="F702"/>
      <c r="G702"/>
      <c r="H702"/>
      <c r="K702" s="2"/>
    </row>
    <row r="703" spans="6:11" s="1" customFormat="1" x14ac:dyDescent="0.45">
      <c r="F703"/>
      <c r="G703"/>
      <c r="H703"/>
      <c r="K703" s="2"/>
    </row>
    <row r="704" spans="6:11" s="1" customFormat="1" x14ac:dyDescent="0.45">
      <c r="F704"/>
      <c r="G704"/>
      <c r="H704"/>
      <c r="K704" s="2"/>
    </row>
    <row r="705" spans="6:11" s="1" customFormat="1" x14ac:dyDescent="0.45">
      <c r="F705"/>
      <c r="G705"/>
      <c r="H705"/>
      <c r="K705" s="2"/>
    </row>
    <row r="706" spans="6:11" s="1" customFormat="1" x14ac:dyDescent="0.45">
      <c r="F706"/>
      <c r="G706"/>
      <c r="H706"/>
      <c r="K706" s="2"/>
    </row>
    <row r="707" spans="6:11" s="1" customFormat="1" x14ac:dyDescent="0.45">
      <c r="F707"/>
      <c r="G707"/>
      <c r="H707"/>
      <c r="K707" s="2"/>
    </row>
    <row r="708" spans="6:11" s="1" customFormat="1" x14ac:dyDescent="0.45">
      <c r="F708"/>
      <c r="G708"/>
      <c r="H708"/>
      <c r="K708" s="2"/>
    </row>
    <row r="709" spans="6:11" s="1" customFormat="1" x14ac:dyDescent="0.45">
      <c r="F709"/>
      <c r="G709"/>
      <c r="H709"/>
      <c r="K709" s="2"/>
    </row>
    <row r="710" spans="6:11" s="1" customFormat="1" x14ac:dyDescent="0.45">
      <c r="F710"/>
      <c r="G710"/>
      <c r="H710"/>
      <c r="K710" s="2"/>
    </row>
    <row r="711" spans="6:11" s="1" customFormat="1" x14ac:dyDescent="0.45">
      <c r="F711"/>
      <c r="G711"/>
      <c r="H711"/>
      <c r="K711" s="2"/>
    </row>
    <row r="712" spans="6:11" s="1" customFormat="1" x14ac:dyDescent="0.45">
      <c r="F712"/>
      <c r="G712"/>
      <c r="H712"/>
      <c r="K712" s="2"/>
    </row>
    <row r="713" spans="6:11" s="1" customFormat="1" x14ac:dyDescent="0.45">
      <c r="F713"/>
      <c r="G713"/>
      <c r="H713"/>
      <c r="K713" s="2"/>
    </row>
    <row r="714" spans="6:11" s="1" customFormat="1" x14ac:dyDescent="0.45">
      <c r="F714"/>
      <c r="G714"/>
      <c r="H714"/>
      <c r="K714" s="2"/>
    </row>
    <row r="715" spans="6:11" s="1" customFormat="1" x14ac:dyDescent="0.45">
      <c r="F715"/>
      <c r="G715"/>
      <c r="H715"/>
      <c r="K715" s="2"/>
    </row>
    <row r="716" spans="6:11" s="1" customFormat="1" x14ac:dyDescent="0.45">
      <c r="F716"/>
      <c r="G716"/>
      <c r="H716"/>
      <c r="K716" s="2"/>
    </row>
    <row r="717" spans="6:11" s="1" customFormat="1" x14ac:dyDescent="0.45">
      <c r="F717"/>
      <c r="G717"/>
      <c r="H717"/>
      <c r="K717" s="2"/>
    </row>
    <row r="718" spans="6:11" s="1" customFormat="1" x14ac:dyDescent="0.45">
      <c r="F718"/>
      <c r="G718"/>
      <c r="H718"/>
      <c r="K718" s="2"/>
    </row>
    <row r="719" spans="6:11" s="1" customFormat="1" x14ac:dyDescent="0.45">
      <c r="F719"/>
      <c r="G719"/>
      <c r="H719"/>
      <c r="K719" s="2"/>
    </row>
    <row r="720" spans="6:11" s="1" customFormat="1" x14ac:dyDescent="0.45">
      <c r="F720"/>
      <c r="G720"/>
      <c r="H720"/>
      <c r="K720" s="2"/>
    </row>
    <row r="721" spans="6:11" s="1" customFormat="1" x14ac:dyDescent="0.45">
      <c r="F721"/>
      <c r="G721"/>
      <c r="H721"/>
      <c r="K721" s="2"/>
    </row>
    <row r="722" spans="6:11" s="1" customFormat="1" x14ac:dyDescent="0.45">
      <c r="F722"/>
      <c r="G722"/>
      <c r="H722"/>
      <c r="K722" s="2"/>
    </row>
    <row r="723" spans="6:11" s="1" customFormat="1" x14ac:dyDescent="0.45">
      <c r="F723"/>
      <c r="G723"/>
      <c r="H723"/>
      <c r="K723" s="2"/>
    </row>
    <row r="724" spans="6:11" s="1" customFormat="1" x14ac:dyDescent="0.45">
      <c r="F724"/>
      <c r="G724"/>
      <c r="H724"/>
      <c r="K724" s="2"/>
    </row>
    <row r="725" spans="6:11" s="1" customFormat="1" x14ac:dyDescent="0.45">
      <c r="F725"/>
      <c r="G725"/>
      <c r="H725"/>
      <c r="K725" s="2"/>
    </row>
    <row r="726" spans="6:11" s="1" customFormat="1" x14ac:dyDescent="0.45">
      <c r="F726"/>
      <c r="G726"/>
      <c r="H726"/>
      <c r="K726" s="2"/>
    </row>
    <row r="727" spans="6:11" s="1" customFormat="1" x14ac:dyDescent="0.45">
      <c r="F727"/>
      <c r="G727"/>
      <c r="H727"/>
      <c r="K727" s="2"/>
    </row>
    <row r="728" spans="6:11" s="1" customFormat="1" x14ac:dyDescent="0.45">
      <c r="F728"/>
      <c r="G728"/>
      <c r="H728"/>
      <c r="K728" s="2"/>
    </row>
    <row r="729" spans="6:11" s="1" customFormat="1" x14ac:dyDescent="0.45">
      <c r="F729"/>
      <c r="G729"/>
      <c r="H729"/>
      <c r="K729" s="2"/>
    </row>
    <row r="730" spans="6:11" s="1" customFormat="1" x14ac:dyDescent="0.45">
      <c r="F730"/>
      <c r="G730"/>
      <c r="H730"/>
      <c r="K730" s="2"/>
    </row>
    <row r="731" spans="6:11" s="1" customFormat="1" x14ac:dyDescent="0.45">
      <c r="F731"/>
      <c r="G731"/>
      <c r="H731"/>
      <c r="K731" s="2"/>
    </row>
    <row r="732" spans="6:11" s="1" customFormat="1" x14ac:dyDescent="0.45">
      <c r="F732"/>
      <c r="G732"/>
      <c r="H732"/>
      <c r="K732" s="2"/>
    </row>
    <row r="733" spans="6:11" s="1" customFormat="1" x14ac:dyDescent="0.45">
      <c r="F733"/>
      <c r="G733"/>
      <c r="H733"/>
      <c r="K733" s="2"/>
    </row>
    <row r="734" spans="6:11" s="1" customFormat="1" x14ac:dyDescent="0.45">
      <c r="F734"/>
      <c r="G734"/>
      <c r="H734"/>
      <c r="K734" s="2"/>
    </row>
    <row r="735" spans="6:11" s="1" customFormat="1" x14ac:dyDescent="0.45">
      <c r="F735"/>
      <c r="G735"/>
      <c r="H735"/>
      <c r="K735" s="2"/>
    </row>
    <row r="736" spans="6:11" s="1" customFormat="1" x14ac:dyDescent="0.45">
      <c r="F736"/>
      <c r="G736"/>
      <c r="H736"/>
      <c r="K736" s="2"/>
    </row>
    <row r="737" spans="6:11" s="1" customFormat="1" x14ac:dyDescent="0.45">
      <c r="F737"/>
      <c r="G737"/>
      <c r="H737"/>
      <c r="K737" s="2"/>
    </row>
    <row r="738" spans="6:11" s="1" customFormat="1" x14ac:dyDescent="0.45">
      <c r="F738"/>
      <c r="G738"/>
      <c r="H738"/>
      <c r="K738" s="2"/>
    </row>
    <row r="739" spans="6:11" s="1" customFormat="1" x14ac:dyDescent="0.45">
      <c r="F739"/>
      <c r="G739"/>
      <c r="H739"/>
      <c r="K739" s="2"/>
    </row>
    <row r="740" spans="6:11" s="1" customFormat="1" x14ac:dyDescent="0.45">
      <c r="F740"/>
      <c r="G740"/>
      <c r="H740"/>
      <c r="K740" s="2"/>
    </row>
    <row r="741" spans="6:11" s="1" customFormat="1" x14ac:dyDescent="0.45">
      <c r="F741"/>
      <c r="G741"/>
      <c r="H741"/>
      <c r="K741" s="2"/>
    </row>
    <row r="742" spans="6:11" s="1" customFormat="1" x14ac:dyDescent="0.45">
      <c r="F742"/>
      <c r="G742"/>
      <c r="H742"/>
      <c r="K742" s="2"/>
    </row>
    <row r="743" spans="6:11" s="1" customFormat="1" x14ac:dyDescent="0.45">
      <c r="F743"/>
      <c r="G743"/>
      <c r="H743"/>
      <c r="K743" s="2"/>
    </row>
    <row r="744" spans="6:11" s="1" customFormat="1" x14ac:dyDescent="0.45">
      <c r="F744"/>
      <c r="G744"/>
      <c r="H744"/>
      <c r="K744" s="2"/>
    </row>
    <row r="745" spans="6:11" s="1" customFormat="1" x14ac:dyDescent="0.45">
      <c r="F745"/>
      <c r="G745"/>
      <c r="H745"/>
      <c r="K745" s="2"/>
    </row>
    <row r="746" spans="6:11" s="1" customFormat="1" x14ac:dyDescent="0.45">
      <c r="F746"/>
      <c r="G746"/>
      <c r="H746"/>
      <c r="K746" s="2"/>
    </row>
    <row r="747" spans="6:11" s="1" customFormat="1" x14ac:dyDescent="0.45">
      <c r="F747"/>
      <c r="G747"/>
      <c r="H747"/>
      <c r="K747" s="2"/>
    </row>
    <row r="748" spans="6:11" s="1" customFormat="1" x14ac:dyDescent="0.45">
      <c r="F748"/>
      <c r="G748"/>
      <c r="H748"/>
      <c r="K748" s="2"/>
    </row>
    <row r="749" spans="6:11" s="1" customFormat="1" x14ac:dyDescent="0.45">
      <c r="F749"/>
      <c r="G749"/>
      <c r="H749"/>
      <c r="K749" s="2"/>
    </row>
    <row r="750" spans="6:11" s="1" customFormat="1" x14ac:dyDescent="0.45">
      <c r="F750"/>
      <c r="G750"/>
      <c r="H750"/>
      <c r="K750" s="2"/>
    </row>
    <row r="751" spans="6:11" s="1" customFormat="1" x14ac:dyDescent="0.45">
      <c r="F751"/>
      <c r="G751"/>
      <c r="H751"/>
      <c r="K751" s="2"/>
    </row>
    <row r="752" spans="6:11" s="1" customFormat="1" x14ac:dyDescent="0.45">
      <c r="F752"/>
      <c r="G752"/>
      <c r="H752"/>
      <c r="K752" s="2"/>
    </row>
    <row r="753" spans="6:11" s="1" customFormat="1" x14ac:dyDescent="0.45">
      <c r="F753"/>
      <c r="G753"/>
      <c r="H753"/>
      <c r="K753" s="2"/>
    </row>
    <row r="754" spans="6:11" s="1" customFormat="1" x14ac:dyDescent="0.45">
      <c r="F754"/>
      <c r="G754"/>
      <c r="H754"/>
      <c r="K754" s="2"/>
    </row>
    <row r="755" spans="6:11" s="1" customFormat="1" x14ac:dyDescent="0.45">
      <c r="F755"/>
      <c r="G755"/>
      <c r="H755"/>
      <c r="K755" s="2"/>
    </row>
    <row r="756" spans="6:11" s="1" customFormat="1" x14ac:dyDescent="0.45">
      <c r="F756"/>
      <c r="G756"/>
      <c r="H756"/>
      <c r="K756" s="2"/>
    </row>
    <row r="757" spans="6:11" s="1" customFormat="1" x14ac:dyDescent="0.45">
      <c r="F757"/>
      <c r="G757"/>
      <c r="H757"/>
      <c r="K757" s="2"/>
    </row>
    <row r="758" spans="6:11" s="1" customFormat="1" x14ac:dyDescent="0.45">
      <c r="F758"/>
      <c r="G758"/>
      <c r="H758"/>
      <c r="K758" s="2"/>
    </row>
    <row r="759" spans="6:11" s="1" customFormat="1" x14ac:dyDescent="0.45">
      <c r="F759"/>
      <c r="G759"/>
      <c r="H759"/>
      <c r="K759" s="2"/>
    </row>
    <row r="760" spans="6:11" s="1" customFormat="1" x14ac:dyDescent="0.45">
      <c r="F760"/>
      <c r="G760"/>
      <c r="H760"/>
      <c r="K760" s="2"/>
    </row>
    <row r="761" spans="6:11" s="1" customFormat="1" x14ac:dyDescent="0.45">
      <c r="F761"/>
      <c r="G761"/>
      <c r="H761"/>
      <c r="K761" s="2"/>
    </row>
    <row r="762" spans="6:11" s="1" customFormat="1" x14ac:dyDescent="0.45">
      <c r="F762"/>
      <c r="G762"/>
      <c r="H762"/>
      <c r="K762" s="2"/>
    </row>
    <row r="763" spans="6:11" s="1" customFormat="1" x14ac:dyDescent="0.45">
      <c r="F763"/>
      <c r="G763"/>
      <c r="H763"/>
      <c r="K763" s="2"/>
    </row>
    <row r="764" spans="6:11" s="1" customFormat="1" x14ac:dyDescent="0.45">
      <c r="F764"/>
      <c r="G764"/>
      <c r="H764"/>
      <c r="K764" s="2"/>
    </row>
    <row r="765" spans="6:11" s="1" customFormat="1" x14ac:dyDescent="0.45">
      <c r="F765"/>
      <c r="G765"/>
      <c r="H765"/>
      <c r="K765" s="2"/>
    </row>
    <row r="766" spans="6:11" s="1" customFormat="1" x14ac:dyDescent="0.45">
      <c r="F766"/>
      <c r="G766"/>
      <c r="H766"/>
      <c r="K766" s="2"/>
    </row>
    <row r="767" spans="6:11" s="1" customFormat="1" x14ac:dyDescent="0.45">
      <c r="F767"/>
      <c r="G767"/>
      <c r="H767"/>
      <c r="K767" s="2"/>
    </row>
    <row r="768" spans="6:11" s="1" customFormat="1" x14ac:dyDescent="0.45">
      <c r="F768"/>
      <c r="G768"/>
      <c r="H768"/>
      <c r="K768" s="2"/>
    </row>
    <row r="769" spans="6:11" s="1" customFormat="1" x14ac:dyDescent="0.45">
      <c r="F769"/>
      <c r="G769"/>
      <c r="H769"/>
      <c r="K769" s="2"/>
    </row>
    <row r="770" spans="6:11" s="1" customFormat="1" x14ac:dyDescent="0.45">
      <c r="F770"/>
      <c r="G770"/>
      <c r="H770"/>
      <c r="K770" s="2"/>
    </row>
    <row r="771" spans="6:11" s="1" customFormat="1" x14ac:dyDescent="0.45">
      <c r="F771"/>
      <c r="G771"/>
      <c r="H771"/>
      <c r="K771" s="2"/>
    </row>
    <row r="772" spans="6:11" s="1" customFormat="1" x14ac:dyDescent="0.45">
      <c r="F772"/>
      <c r="G772"/>
      <c r="H772"/>
      <c r="K772" s="2"/>
    </row>
    <row r="773" spans="6:11" s="1" customFormat="1" x14ac:dyDescent="0.45">
      <c r="F773"/>
      <c r="G773"/>
      <c r="H773"/>
      <c r="K773" s="2"/>
    </row>
    <row r="774" spans="6:11" s="1" customFormat="1" x14ac:dyDescent="0.45">
      <c r="F774"/>
      <c r="G774"/>
      <c r="H774"/>
      <c r="K774" s="2"/>
    </row>
    <row r="775" spans="6:11" s="1" customFormat="1" x14ac:dyDescent="0.45">
      <c r="F775"/>
      <c r="G775"/>
      <c r="H775"/>
      <c r="K775" s="2"/>
    </row>
    <row r="776" spans="6:11" s="1" customFormat="1" x14ac:dyDescent="0.45">
      <c r="F776"/>
      <c r="G776"/>
      <c r="H776"/>
      <c r="K776" s="2"/>
    </row>
    <row r="777" spans="6:11" s="1" customFormat="1" x14ac:dyDescent="0.45">
      <c r="F777"/>
      <c r="G777"/>
      <c r="H777"/>
      <c r="K777" s="2"/>
    </row>
    <row r="778" spans="6:11" s="1" customFormat="1" x14ac:dyDescent="0.45">
      <c r="F778"/>
      <c r="G778"/>
      <c r="H778"/>
      <c r="K778" s="2"/>
    </row>
    <row r="779" spans="6:11" s="1" customFormat="1" x14ac:dyDescent="0.45">
      <c r="F779"/>
      <c r="G779"/>
      <c r="H779"/>
      <c r="K779" s="2"/>
    </row>
    <row r="780" spans="6:11" s="1" customFormat="1" x14ac:dyDescent="0.45">
      <c r="F780"/>
      <c r="G780"/>
      <c r="H780"/>
      <c r="K780" s="2"/>
    </row>
    <row r="781" spans="6:11" s="1" customFormat="1" x14ac:dyDescent="0.45">
      <c r="F781"/>
      <c r="G781"/>
      <c r="H781"/>
      <c r="K781" s="2"/>
    </row>
    <row r="782" spans="6:11" s="1" customFormat="1" x14ac:dyDescent="0.45">
      <c r="F782"/>
      <c r="G782"/>
      <c r="H782"/>
      <c r="K782" s="2"/>
    </row>
    <row r="783" spans="6:11" s="1" customFormat="1" x14ac:dyDescent="0.45">
      <c r="F783"/>
      <c r="G783"/>
      <c r="H783"/>
      <c r="K783" s="2"/>
    </row>
    <row r="784" spans="6:11" s="1" customFormat="1" x14ac:dyDescent="0.45">
      <c r="F784"/>
      <c r="G784"/>
      <c r="H784"/>
      <c r="K784" s="2"/>
    </row>
    <row r="785" spans="6:11" s="1" customFormat="1" x14ac:dyDescent="0.45">
      <c r="F785"/>
      <c r="G785"/>
      <c r="H785"/>
      <c r="K785" s="2"/>
    </row>
    <row r="786" spans="6:11" s="1" customFormat="1" x14ac:dyDescent="0.45">
      <c r="F786"/>
      <c r="G786"/>
      <c r="H786"/>
      <c r="K786" s="2"/>
    </row>
    <row r="787" spans="6:11" s="1" customFormat="1" x14ac:dyDescent="0.45">
      <c r="F787"/>
      <c r="G787"/>
      <c r="H787"/>
      <c r="K787" s="2"/>
    </row>
    <row r="788" spans="6:11" s="1" customFormat="1" x14ac:dyDescent="0.45">
      <c r="F788"/>
      <c r="G788"/>
      <c r="H788"/>
      <c r="K788" s="2"/>
    </row>
    <row r="789" spans="6:11" s="1" customFormat="1" x14ac:dyDescent="0.45">
      <c r="F789"/>
      <c r="G789"/>
      <c r="H789"/>
      <c r="K789" s="2"/>
    </row>
    <row r="790" spans="6:11" s="1" customFormat="1" x14ac:dyDescent="0.45">
      <c r="F790"/>
      <c r="G790"/>
      <c r="H790"/>
      <c r="K790" s="2"/>
    </row>
    <row r="791" spans="6:11" s="1" customFormat="1" x14ac:dyDescent="0.45">
      <c r="F791"/>
      <c r="G791"/>
      <c r="H791"/>
      <c r="K791" s="2"/>
    </row>
    <row r="792" spans="6:11" s="1" customFormat="1" x14ac:dyDescent="0.45">
      <c r="F792"/>
      <c r="G792"/>
      <c r="H792"/>
      <c r="K792" s="2"/>
    </row>
    <row r="793" spans="6:11" s="1" customFormat="1" x14ac:dyDescent="0.45">
      <c r="F793"/>
      <c r="G793"/>
      <c r="H793"/>
      <c r="K793" s="2"/>
    </row>
    <row r="794" spans="6:11" s="1" customFormat="1" x14ac:dyDescent="0.45">
      <c r="F794"/>
      <c r="G794"/>
      <c r="H794"/>
      <c r="K794" s="2"/>
    </row>
    <row r="795" spans="6:11" s="1" customFormat="1" x14ac:dyDescent="0.45">
      <c r="F795"/>
      <c r="G795"/>
      <c r="H795"/>
      <c r="K795" s="2"/>
    </row>
    <row r="796" spans="6:11" s="1" customFormat="1" x14ac:dyDescent="0.45">
      <c r="F796"/>
      <c r="G796"/>
      <c r="H796"/>
      <c r="K796" s="2"/>
    </row>
    <row r="797" spans="6:11" s="1" customFormat="1" x14ac:dyDescent="0.45">
      <c r="F797"/>
      <c r="G797"/>
      <c r="H797"/>
      <c r="K797" s="2"/>
    </row>
    <row r="798" spans="6:11" s="1" customFormat="1" x14ac:dyDescent="0.45">
      <c r="F798"/>
      <c r="G798"/>
      <c r="H798"/>
      <c r="K798" s="2"/>
    </row>
    <row r="799" spans="6:11" s="1" customFormat="1" x14ac:dyDescent="0.45">
      <c r="F799"/>
      <c r="G799"/>
      <c r="H799"/>
      <c r="K799" s="2"/>
    </row>
    <row r="800" spans="6:11" s="1" customFormat="1" x14ac:dyDescent="0.45">
      <c r="F800"/>
      <c r="G800"/>
      <c r="H800"/>
      <c r="K800" s="2"/>
    </row>
    <row r="801" spans="6:11" s="1" customFormat="1" x14ac:dyDescent="0.45">
      <c r="F801"/>
      <c r="G801"/>
      <c r="H801"/>
      <c r="K801" s="2"/>
    </row>
    <row r="802" spans="6:11" s="1" customFormat="1" x14ac:dyDescent="0.45">
      <c r="F802"/>
      <c r="G802"/>
      <c r="H802"/>
      <c r="K802" s="2"/>
    </row>
    <row r="803" spans="6:11" s="1" customFormat="1" x14ac:dyDescent="0.45">
      <c r="F803"/>
      <c r="G803"/>
      <c r="H803"/>
      <c r="K803" s="2"/>
    </row>
    <row r="804" spans="6:11" s="1" customFormat="1" x14ac:dyDescent="0.45">
      <c r="F804"/>
      <c r="G804"/>
      <c r="H804"/>
      <c r="K804" s="2"/>
    </row>
    <row r="805" spans="6:11" s="1" customFormat="1" x14ac:dyDescent="0.45">
      <c r="F805"/>
      <c r="G805"/>
      <c r="H805"/>
      <c r="K805" s="2"/>
    </row>
  </sheetData>
  <autoFilter ref="A1:K1" xr:uid="{E95D3704-44B1-4F85-9CC2-59ABF3F263B8}"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1C26C-47B0-4F68-85A7-A44B9C4216CF}">
  <sheetPr codeName="Sheet4"/>
  <dimension ref="A1:J42"/>
  <sheetViews>
    <sheetView showGridLines="0" workbookViewId="0">
      <pane ySplit="1" topLeftCell="A2" activePane="bottomLeft" state="frozen"/>
      <selection pane="bottomLeft" activeCell="F16" sqref="F16"/>
    </sheetView>
  </sheetViews>
  <sheetFormatPr defaultRowHeight="17" x14ac:dyDescent="0.45"/>
  <cols>
    <col min="1" max="1" width="4.6640625" customWidth="1"/>
    <col min="2" max="2" width="7.6640625" customWidth="1"/>
    <col min="3" max="3" width="15.6640625" customWidth="1"/>
    <col min="4" max="4" width="6.6640625" customWidth="1"/>
    <col min="5" max="5" width="28.6640625" customWidth="1"/>
    <col min="6" max="6" width="18.6640625" customWidth="1"/>
    <col min="7" max="7" width="14.6640625" customWidth="1"/>
    <col min="8" max="8" width="12.6640625" customWidth="1"/>
    <col min="9" max="9" width="14.6640625" customWidth="1"/>
    <col min="10" max="10" width="14.6640625" style="58" customWidth="1"/>
  </cols>
  <sheetData>
    <row r="1" spans="1:10" ht="17.5" thickBot="1" x14ac:dyDescent="0.5">
      <c r="A1" s="18" t="s">
        <v>128</v>
      </c>
      <c r="B1" s="19" t="s">
        <v>1</v>
      </c>
      <c r="C1" s="21" t="s">
        <v>8</v>
      </c>
      <c r="D1" s="54" t="s">
        <v>140</v>
      </c>
      <c r="E1" s="20" t="s">
        <v>16</v>
      </c>
      <c r="F1" s="55" t="s">
        <v>138</v>
      </c>
      <c r="G1" s="22" t="s">
        <v>136</v>
      </c>
      <c r="H1" s="26" t="s">
        <v>137</v>
      </c>
      <c r="I1" s="22" t="s">
        <v>134</v>
      </c>
      <c r="J1" s="56" t="s">
        <v>135</v>
      </c>
    </row>
    <row r="2" spans="1:10" ht="17.5" thickTop="1" x14ac:dyDescent="0.45">
      <c r="A2" s="14">
        <v>1</v>
      </c>
      <c r="B2" s="17" t="s">
        <v>129</v>
      </c>
      <c r="C2" s="14" t="s">
        <v>131</v>
      </c>
      <c r="D2" s="17" t="s">
        <v>143</v>
      </c>
      <c r="E2" s="14" t="s">
        <v>454</v>
      </c>
      <c r="F2" s="60">
        <f>G2+H2</f>
        <v>10395000</v>
      </c>
      <c r="G2" s="30">
        <f>I2+J2</f>
        <v>9450000</v>
      </c>
      <c r="H2" s="28">
        <f>G2*10%</f>
        <v>945000</v>
      </c>
      <c r="I2" s="30">
        <f>SUM(고정일!E2)</f>
        <v>8700000</v>
      </c>
      <c r="J2" s="30">
        <f>SUM(용차정보!I18,용차정보!I19,용차정보!I20)</f>
        <v>750000</v>
      </c>
    </row>
    <row r="3" spans="1:10" x14ac:dyDescent="0.45">
      <c r="A3" s="3">
        <v>2</v>
      </c>
      <c r="B3" s="8" t="s">
        <v>0</v>
      </c>
      <c r="C3" s="59" t="s">
        <v>10</v>
      </c>
      <c r="D3" s="3" t="s">
        <v>143</v>
      </c>
      <c r="E3" s="3" t="s">
        <v>456</v>
      </c>
      <c r="F3" s="60">
        <f t="shared" ref="F3:F18" si="0">G3+H3</f>
        <v>8371000</v>
      </c>
      <c r="G3" s="30">
        <f t="shared" ref="G3:G17" si="1">I3+J3</f>
        <v>7610000</v>
      </c>
      <c r="H3" s="29">
        <f t="shared" ref="H3:H39" si="2">G3*10%</f>
        <v>761000</v>
      </c>
      <c r="I3" s="31">
        <f>SUM(고정일!E3)</f>
        <v>7200000</v>
      </c>
      <c r="J3" s="31">
        <f>SUM(용차정보!I22,용차정보!I33)</f>
        <v>410000</v>
      </c>
    </row>
    <row r="4" spans="1:10" x14ac:dyDescent="0.45">
      <c r="A4" s="3">
        <v>3</v>
      </c>
      <c r="B4" s="8" t="s">
        <v>12</v>
      </c>
      <c r="C4" s="59" t="s">
        <v>13</v>
      </c>
      <c r="D4" s="3" t="s">
        <v>143</v>
      </c>
      <c r="E4" s="3" t="s">
        <v>457</v>
      </c>
      <c r="F4" s="60">
        <f t="shared" si="0"/>
        <v>10505000</v>
      </c>
      <c r="G4" s="30">
        <f t="shared" si="1"/>
        <v>9550000</v>
      </c>
      <c r="H4" s="29">
        <f t="shared" si="2"/>
        <v>955000</v>
      </c>
      <c r="I4" s="31">
        <f>SUM(고정일!E4)</f>
        <v>9300000</v>
      </c>
      <c r="J4" s="31">
        <f>SUM(용차정보!I21)</f>
        <v>250000</v>
      </c>
    </row>
    <row r="5" spans="1:10" x14ac:dyDescent="0.45">
      <c r="A5" s="3">
        <v>4</v>
      </c>
      <c r="B5" s="8" t="s">
        <v>12</v>
      </c>
      <c r="C5" s="59" t="s">
        <v>13</v>
      </c>
      <c r="D5" s="3" t="s">
        <v>143</v>
      </c>
      <c r="E5" s="3" t="s">
        <v>457</v>
      </c>
      <c r="F5" s="60">
        <f t="shared" si="0"/>
        <v>12210000</v>
      </c>
      <c r="G5" s="30">
        <f t="shared" si="1"/>
        <v>11100000</v>
      </c>
      <c r="H5" s="29">
        <f t="shared" si="2"/>
        <v>1110000</v>
      </c>
      <c r="I5" s="31">
        <f>SUM(고정일!E5)</f>
        <v>11100000</v>
      </c>
      <c r="J5" s="31"/>
    </row>
    <row r="6" spans="1:10" x14ac:dyDescent="0.45">
      <c r="A6" s="3">
        <v>5</v>
      </c>
      <c r="B6" s="8" t="s">
        <v>23</v>
      </c>
      <c r="C6" s="59" t="s">
        <v>25</v>
      </c>
      <c r="D6" s="3" t="s">
        <v>143</v>
      </c>
      <c r="E6" s="3" t="s">
        <v>449</v>
      </c>
      <c r="F6" s="60">
        <f t="shared" si="0"/>
        <v>9240000</v>
      </c>
      <c r="G6" s="30">
        <f t="shared" si="1"/>
        <v>8400000</v>
      </c>
      <c r="H6" s="29">
        <f t="shared" si="2"/>
        <v>840000</v>
      </c>
      <c r="I6" s="31">
        <f>SUM(고정일!E6)</f>
        <v>8400000</v>
      </c>
      <c r="J6" s="31"/>
    </row>
    <row r="7" spans="1:10" x14ac:dyDescent="0.45">
      <c r="A7" s="3">
        <v>6</v>
      </c>
      <c r="B7" s="8" t="s">
        <v>28</v>
      </c>
      <c r="C7" s="59" t="s">
        <v>30</v>
      </c>
      <c r="D7" s="3" t="s">
        <v>143</v>
      </c>
      <c r="E7" s="3" t="s">
        <v>458</v>
      </c>
      <c r="F7" s="60">
        <f t="shared" si="0"/>
        <v>6930000</v>
      </c>
      <c r="G7" s="30">
        <f t="shared" si="1"/>
        <v>6300000</v>
      </c>
      <c r="H7" s="29">
        <f t="shared" si="2"/>
        <v>630000</v>
      </c>
      <c r="I7" s="31">
        <f>SUM(고정일!E7)</f>
        <v>6300000</v>
      </c>
      <c r="J7" s="31"/>
    </row>
    <row r="8" spans="1:10" x14ac:dyDescent="0.45">
      <c r="A8" s="3">
        <v>7</v>
      </c>
      <c r="B8" s="8" t="s">
        <v>32</v>
      </c>
      <c r="C8" s="59" t="s">
        <v>34</v>
      </c>
      <c r="D8" s="3" t="s">
        <v>143</v>
      </c>
      <c r="E8" s="3" t="s">
        <v>459</v>
      </c>
      <c r="F8" s="60">
        <f t="shared" si="0"/>
        <v>3850000</v>
      </c>
      <c r="G8" s="30">
        <f t="shared" si="1"/>
        <v>3500000</v>
      </c>
      <c r="H8" s="29">
        <f t="shared" si="2"/>
        <v>350000</v>
      </c>
      <c r="I8" s="31">
        <f>SUM(고정일!E8)</f>
        <v>3500000</v>
      </c>
      <c r="J8" s="31"/>
    </row>
    <row r="9" spans="1:10" x14ac:dyDescent="0.45">
      <c r="A9" s="3">
        <v>8</v>
      </c>
      <c r="B9" s="8" t="s">
        <v>36</v>
      </c>
      <c r="C9" s="59" t="s">
        <v>37</v>
      </c>
      <c r="D9" s="3" t="s">
        <v>143</v>
      </c>
      <c r="E9" s="3" t="s">
        <v>453</v>
      </c>
      <c r="F9" s="60">
        <f t="shared" si="0"/>
        <v>8250000</v>
      </c>
      <c r="G9" s="30">
        <f t="shared" si="1"/>
        <v>7500000</v>
      </c>
      <c r="H9" s="29">
        <f t="shared" si="2"/>
        <v>750000</v>
      </c>
      <c r="I9" s="31">
        <f>SUM(고정일!E9)</f>
        <v>7500000</v>
      </c>
      <c r="J9" s="31"/>
    </row>
    <row r="10" spans="1:10" x14ac:dyDescent="0.45">
      <c r="A10" s="3">
        <v>9</v>
      </c>
      <c r="B10" s="8" t="s">
        <v>41</v>
      </c>
      <c r="C10" s="59" t="s">
        <v>42</v>
      </c>
      <c r="D10" s="3" t="s">
        <v>143</v>
      </c>
      <c r="E10" s="3" t="s">
        <v>460</v>
      </c>
      <c r="F10" s="60">
        <f t="shared" si="0"/>
        <v>4950000</v>
      </c>
      <c r="G10" s="30">
        <f t="shared" si="1"/>
        <v>4500000</v>
      </c>
      <c r="H10" s="29">
        <f t="shared" si="2"/>
        <v>450000</v>
      </c>
      <c r="I10" s="31">
        <f>SUM(고정일!E10)</f>
        <v>4500000</v>
      </c>
      <c r="J10" s="31"/>
    </row>
    <row r="11" spans="1:10" x14ac:dyDescent="0.45">
      <c r="A11" s="3">
        <v>10</v>
      </c>
      <c r="B11" s="8" t="s">
        <v>44</v>
      </c>
      <c r="C11" s="59" t="s">
        <v>45</v>
      </c>
      <c r="D11" s="3" t="s">
        <v>143</v>
      </c>
      <c r="E11" s="3" t="s">
        <v>461</v>
      </c>
      <c r="F11" s="60">
        <f t="shared" si="0"/>
        <v>2420000</v>
      </c>
      <c r="G11" s="30">
        <f t="shared" si="1"/>
        <v>2200000</v>
      </c>
      <c r="H11" s="29">
        <f t="shared" si="2"/>
        <v>220000</v>
      </c>
      <c r="I11" s="31">
        <f>SUM(고정일!E11)</f>
        <v>2200000</v>
      </c>
      <c r="J11" s="31"/>
    </row>
    <row r="12" spans="1:10" x14ac:dyDescent="0.45">
      <c r="A12" s="3">
        <v>11</v>
      </c>
      <c r="B12" s="8" t="s">
        <v>46</v>
      </c>
      <c r="C12" s="59" t="s">
        <v>47</v>
      </c>
      <c r="D12" s="3" t="s">
        <v>143</v>
      </c>
      <c r="E12" s="3" t="s">
        <v>462</v>
      </c>
      <c r="F12" s="60">
        <f t="shared" si="0"/>
        <v>6600000</v>
      </c>
      <c r="G12" s="30">
        <f t="shared" si="1"/>
        <v>6000000</v>
      </c>
      <c r="H12" s="29">
        <f t="shared" si="2"/>
        <v>600000</v>
      </c>
      <c r="I12" s="31">
        <f>SUM(고정일!E12)</f>
        <v>6000000</v>
      </c>
      <c r="J12" s="31"/>
    </row>
    <row r="13" spans="1:10" x14ac:dyDescent="0.45">
      <c r="A13" s="3">
        <v>12</v>
      </c>
      <c r="B13" s="8" t="s">
        <v>49</v>
      </c>
      <c r="C13" s="59" t="s">
        <v>51</v>
      </c>
      <c r="D13" s="3" t="s">
        <v>143</v>
      </c>
      <c r="E13" s="3" t="s">
        <v>442</v>
      </c>
      <c r="F13" s="60">
        <f t="shared" si="0"/>
        <v>3080000</v>
      </c>
      <c r="G13" s="30">
        <f t="shared" si="1"/>
        <v>2800000</v>
      </c>
      <c r="H13" s="29">
        <f t="shared" si="2"/>
        <v>280000</v>
      </c>
      <c r="I13" s="31">
        <f>SUM(고정일!E13)</f>
        <v>2800000</v>
      </c>
      <c r="J13" s="31"/>
    </row>
    <row r="14" spans="1:10" x14ac:dyDescent="0.45">
      <c r="A14" s="3">
        <v>13</v>
      </c>
      <c r="B14" s="8" t="s">
        <v>53</v>
      </c>
      <c r="C14" s="59" t="s">
        <v>57</v>
      </c>
      <c r="D14" s="3" t="s">
        <v>143</v>
      </c>
      <c r="E14" s="3" t="s">
        <v>447</v>
      </c>
      <c r="F14" s="60">
        <f t="shared" si="0"/>
        <v>3850000</v>
      </c>
      <c r="G14" s="30">
        <f t="shared" si="1"/>
        <v>3500000</v>
      </c>
      <c r="H14" s="29">
        <f t="shared" si="2"/>
        <v>350000</v>
      </c>
      <c r="I14" s="31">
        <f>SUM(고정일!E14)</f>
        <v>3500000</v>
      </c>
      <c r="J14" s="31"/>
    </row>
    <row r="15" spans="1:10" x14ac:dyDescent="0.45">
      <c r="A15" s="3">
        <v>14</v>
      </c>
      <c r="B15" s="8" t="s">
        <v>55</v>
      </c>
      <c r="C15" s="59" t="s">
        <v>58</v>
      </c>
      <c r="D15" s="3" t="s">
        <v>143</v>
      </c>
      <c r="E15" s="3" t="s">
        <v>463</v>
      </c>
      <c r="F15" s="60">
        <f t="shared" si="0"/>
        <v>3300000</v>
      </c>
      <c r="G15" s="30">
        <f t="shared" si="1"/>
        <v>3000000</v>
      </c>
      <c r="H15" s="29">
        <f t="shared" si="2"/>
        <v>300000</v>
      </c>
      <c r="I15" s="31">
        <f>SUM(고정일!E15)</f>
        <v>3000000</v>
      </c>
      <c r="J15" s="31"/>
    </row>
    <row r="16" spans="1:10" x14ac:dyDescent="0.45">
      <c r="A16" s="3">
        <v>15</v>
      </c>
      <c r="B16" s="8" t="s">
        <v>60</v>
      </c>
      <c r="C16" s="59" t="s">
        <v>62</v>
      </c>
      <c r="D16" s="3" t="s">
        <v>143</v>
      </c>
      <c r="E16" s="3" t="s">
        <v>464</v>
      </c>
      <c r="F16" s="60">
        <f t="shared" si="0"/>
        <v>12100000</v>
      </c>
      <c r="G16" s="30">
        <f t="shared" si="1"/>
        <v>11000000</v>
      </c>
      <c r="H16" s="29">
        <f t="shared" si="2"/>
        <v>1100000</v>
      </c>
      <c r="I16" s="31">
        <f>SUM(고정일!E16)</f>
        <v>11000000</v>
      </c>
      <c r="J16" s="31"/>
    </row>
    <row r="17" spans="1:10" x14ac:dyDescent="0.45">
      <c r="A17" s="3">
        <v>16</v>
      </c>
      <c r="B17" s="8" t="s">
        <v>65</v>
      </c>
      <c r="C17" s="6" t="s">
        <v>67</v>
      </c>
      <c r="D17" s="3" t="s">
        <v>144</v>
      </c>
      <c r="E17" s="3"/>
      <c r="F17" s="60">
        <f t="shared" si="0"/>
        <v>3630000</v>
      </c>
      <c r="G17" s="30">
        <f t="shared" si="1"/>
        <v>3300000</v>
      </c>
      <c r="H17" s="29">
        <f t="shared" si="2"/>
        <v>330000</v>
      </c>
      <c r="I17" s="31">
        <v>3300000</v>
      </c>
      <c r="J17" s="31"/>
    </row>
    <row r="18" spans="1:10" x14ac:dyDescent="0.45">
      <c r="A18" s="3">
        <v>17</v>
      </c>
      <c r="B18" s="8" t="s">
        <v>263</v>
      </c>
      <c r="C18" s="6" t="s">
        <v>266</v>
      </c>
      <c r="D18" s="3" t="s">
        <v>143</v>
      </c>
      <c r="E18" s="3" t="s">
        <v>465</v>
      </c>
      <c r="F18" s="60">
        <f t="shared" si="0"/>
        <v>2172922.4</v>
      </c>
      <c r="G18" s="30">
        <f>I18+J18</f>
        <v>1975384</v>
      </c>
      <c r="H18" s="29">
        <f t="shared" si="2"/>
        <v>197538.40000000002</v>
      </c>
      <c r="I18" s="31">
        <f>SUM(고정일!E36)</f>
        <v>1975384</v>
      </c>
      <c r="J18" s="31"/>
    </row>
    <row r="19" spans="1:10" x14ac:dyDescent="0.45">
      <c r="A19" s="3">
        <v>18</v>
      </c>
      <c r="B19" s="8" t="s">
        <v>114</v>
      </c>
      <c r="C19" s="6" t="s">
        <v>71</v>
      </c>
      <c r="D19" s="3" t="s">
        <v>143</v>
      </c>
      <c r="E19" s="3" t="s">
        <v>448</v>
      </c>
      <c r="F19" s="60">
        <f t="shared" ref="F19:F36" si="3">G19+H19</f>
        <v>7370000</v>
      </c>
      <c r="G19" s="30">
        <f t="shared" ref="G19:G35" si="4">I19+J19</f>
        <v>6700000</v>
      </c>
      <c r="H19" s="29">
        <f t="shared" ref="H19:H35" si="5">G19*10%</f>
        <v>670000</v>
      </c>
      <c r="I19" s="31">
        <f>SUM(고정일!E31)</f>
        <v>6700000</v>
      </c>
      <c r="J19" s="31"/>
    </row>
    <row r="20" spans="1:10" x14ac:dyDescent="0.45">
      <c r="A20" s="3">
        <v>19</v>
      </c>
      <c r="B20" s="8" t="s">
        <v>72</v>
      </c>
      <c r="C20" s="6" t="s">
        <v>73</v>
      </c>
      <c r="D20" s="3" t="s">
        <v>143</v>
      </c>
      <c r="E20" s="3" t="s">
        <v>466</v>
      </c>
      <c r="F20" s="60">
        <f t="shared" si="3"/>
        <v>4620000</v>
      </c>
      <c r="G20" s="30">
        <f t="shared" si="4"/>
        <v>4200000</v>
      </c>
      <c r="H20" s="29">
        <f t="shared" si="5"/>
        <v>420000</v>
      </c>
      <c r="I20" s="31">
        <f>SUM(고정일!E20)</f>
        <v>4200000</v>
      </c>
      <c r="J20" s="31"/>
    </row>
    <row r="21" spans="1:10" x14ac:dyDescent="0.45">
      <c r="A21" s="3">
        <v>20</v>
      </c>
      <c r="B21" s="8" t="s">
        <v>139</v>
      </c>
      <c r="C21" s="6" t="s">
        <v>76</v>
      </c>
      <c r="D21" s="3" t="s">
        <v>143</v>
      </c>
      <c r="E21" s="3" t="s">
        <v>467</v>
      </c>
      <c r="F21" s="60">
        <f t="shared" si="3"/>
        <v>4620000</v>
      </c>
      <c r="G21" s="30">
        <f t="shared" si="4"/>
        <v>4200000</v>
      </c>
      <c r="H21" s="29">
        <f t="shared" si="5"/>
        <v>420000</v>
      </c>
      <c r="I21" s="31">
        <f>SUM(고정일!E21)</f>
        <v>4200000</v>
      </c>
      <c r="J21" s="31"/>
    </row>
    <row r="22" spans="1:10" x14ac:dyDescent="0.45">
      <c r="A22" s="3">
        <v>21</v>
      </c>
      <c r="B22" s="8" t="s">
        <v>77</v>
      </c>
      <c r="C22" s="6" t="s">
        <v>78</v>
      </c>
      <c r="D22" s="3" t="s">
        <v>143</v>
      </c>
      <c r="E22" s="3" t="s">
        <v>438</v>
      </c>
      <c r="F22" s="60">
        <f t="shared" si="3"/>
        <v>4620000</v>
      </c>
      <c r="G22" s="30">
        <f t="shared" si="4"/>
        <v>4200000</v>
      </c>
      <c r="H22" s="29">
        <f t="shared" si="5"/>
        <v>420000</v>
      </c>
      <c r="I22" s="31">
        <f>SUM(고정일!E21)</f>
        <v>4200000</v>
      </c>
      <c r="J22" s="31"/>
    </row>
    <row r="23" spans="1:10" x14ac:dyDescent="0.45">
      <c r="A23" s="3">
        <v>22</v>
      </c>
      <c r="B23" s="8" t="s">
        <v>79</v>
      </c>
      <c r="C23" s="6" t="s">
        <v>268</v>
      </c>
      <c r="D23" s="3" t="s">
        <v>143</v>
      </c>
      <c r="E23" s="3" t="s">
        <v>444</v>
      </c>
      <c r="F23" s="60">
        <f t="shared" si="3"/>
        <v>11330000</v>
      </c>
      <c r="G23" s="30">
        <f t="shared" si="4"/>
        <v>10300000</v>
      </c>
      <c r="H23" s="29">
        <f t="shared" si="5"/>
        <v>1030000</v>
      </c>
      <c r="I23" s="31">
        <f>SUM(고정일!E22)</f>
        <v>10300000</v>
      </c>
      <c r="J23" s="31"/>
    </row>
    <row r="24" spans="1:10" x14ac:dyDescent="0.45">
      <c r="A24" s="3">
        <v>23</v>
      </c>
      <c r="B24" s="8" t="s">
        <v>83</v>
      </c>
      <c r="C24" s="6" t="s">
        <v>84</v>
      </c>
      <c r="D24" s="3" t="s">
        <v>143</v>
      </c>
      <c r="E24" s="3" t="s">
        <v>468</v>
      </c>
      <c r="F24" s="60">
        <f t="shared" si="3"/>
        <v>4840000</v>
      </c>
      <c r="G24" s="30">
        <f t="shared" si="4"/>
        <v>4400000</v>
      </c>
      <c r="H24" s="29">
        <f t="shared" si="5"/>
        <v>440000</v>
      </c>
      <c r="I24" s="31">
        <f>SUM(고정일!E24)</f>
        <v>4400000</v>
      </c>
      <c r="J24" s="31"/>
    </row>
    <row r="25" spans="1:10" x14ac:dyDescent="0.45">
      <c r="A25" s="3">
        <v>24</v>
      </c>
      <c r="B25" s="8" t="s">
        <v>91</v>
      </c>
      <c r="C25" s="6" t="s">
        <v>92</v>
      </c>
      <c r="D25" s="3" t="s">
        <v>143</v>
      </c>
      <c r="E25" s="3" t="s">
        <v>469</v>
      </c>
      <c r="F25" s="60">
        <f t="shared" si="3"/>
        <v>5830000</v>
      </c>
      <c r="G25" s="30">
        <f t="shared" si="4"/>
        <v>5300000</v>
      </c>
      <c r="H25" s="29">
        <f t="shared" si="5"/>
        <v>530000</v>
      </c>
      <c r="I25" s="31">
        <f>SUM(고정일!E25)</f>
        <v>5300000</v>
      </c>
      <c r="J25" s="31"/>
    </row>
    <row r="26" spans="1:10" x14ac:dyDescent="0.45">
      <c r="A26" s="3">
        <v>25</v>
      </c>
      <c r="B26" s="8" t="s">
        <v>93</v>
      </c>
      <c r="C26" s="6" t="s">
        <v>95</v>
      </c>
      <c r="D26" s="3" t="s">
        <v>143</v>
      </c>
      <c r="E26" s="3" t="s">
        <v>455</v>
      </c>
      <c r="F26" s="60">
        <f t="shared" si="3"/>
        <v>5830000</v>
      </c>
      <c r="G26" s="30">
        <f t="shared" si="4"/>
        <v>5300000</v>
      </c>
      <c r="H26" s="29">
        <f t="shared" si="5"/>
        <v>530000</v>
      </c>
      <c r="I26" s="31">
        <f>SUM(고정일!E25)</f>
        <v>5300000</v>
      </c>
      <c r="J26" s="31"/>
    </row>
    <row r="27" spans="1:10" x14ac:dyDescent="0.45">
      <c r="A27" s="3">
        <v>26</v>
      </c>
      <c r="B27" s="8" t="s">
        <v>129</v>
      </c>
      <c r="C27" s="6" t="s">
        <v>267</v>
      </c>
      <c r="D27" s="3" t="s">
        <v>143</v>
      </c>
      <c r="E27" s="90" t="s">
        <v>454</v>
      </c>
      <c r="F27" s="60">
        <f t="shared" si="3"/>
        <v>14190000</v>
      </c>
      <c r="G27" s="30">
        <f t="shared" si="4"/>
        <v>12900000</v>
      </c>
      <c r="H27" s="29">
        <f t="shared" si="5"/>
        <v>1290000</v>
      </c>
      <c r="I27" s="31">
        <f>SUM(고정일!E26)</f>
        <v>12900000</v>
      </c>
      <c r="J27" s="31"/>
    </row>
    <row r="28" spans="1:10" x14ac:dyDescent="0.45">
      <c r="A28" s="3">
        <v>27</v>
      </c>
      <c r="B28" s="8" t="s">
        <v>100</v>
      </c>
      <c r="C28" s="6" t="s">
        <v>102</v>
      </c>
      <c r="D28" s="3" t="s">
        <v>143</v>
      </c>
      <c r="E28" s="3" t="s">
        <v>443</v>
      </c>
      <c r="F28" s="60">
        <f t="shared" si="3"/>
        <v>3850000</v>
      </c>
      <c r="G28" s="30">
        <f t="shared" si="4"/>
        <v>3500000</v>
      </c>
      <c r="H28" s="29">
        <f t="shared" si="5"/>
        <v>350000</v>
      </c>
      <c r="I28" s="31">
        <f>SUM(고정일!E28)</f>
        <v>3500000</v>
      </c>
      <c r="J28" s="31"/>
    </row>
    <row r="29" spans="1:10" x14ac:dyDescent="0.45">
      <c r="A29" s="3">
        <v>28</v>
      </c>
      <c r="B29" s="8" t="s">
        <v>103</v>
      </c>
      <c r="C29" s="6" t="s">
        <v>105</v>
      </c>
      <c r="D29" s="3" t="s">
        <v>143</v>
      </c>
      <c r="E29" s="3" t="s">
        <v>470</v>
      </c>
      <c r="F29" s="60">
        <f t="shared" si="3"/>
        <v>4180000</v>
      </c>
      <c r="G29" s="30">
        <f t="shared" si="4"/>
        <v>3800000</v>
      </c>
      <c r="H29" s="29">
        <f t="shared" si="5"/>
        <v>380000</v>
      </c>
      <c r="I29" s="31">
        <f>SUM(고정일!E29)</f>
        <v>3800000</v>
      </c>
      <c r="J29" s="31"/>
    </row>
    <row r="30" spans="1:10" x14ac:dyDescent="0.45">
      <c r="A30" s="3">
        <v>29</v>
      </c>
      <c r="B30" s="8" t="s">
        <v>107</v>
      </c>
      <c r="C30" s="6" t="s">
        <v>109</v>
      </c>
      <c r="D30" s="3" t="s">
        <v>143</v>
      </c>
      <c r="E30" s="3" t="s">
        <v>452</v>
      </c>
      <c r="F30" s="60">
        <f t="shared" si="3"/>
        <v>4400000</v>
      </c>
      <c r="G30" s="30">
        <f t="shared" si="4"/>
        <v>4000000</v>
      </c>
      <c r="H30" s="29">
        <f t="shared" si="5"/>
        <v>400000</v>
      </c>
      <c r="I30" s="31">
        <f>SUM(고정일!E30)</f>
        <v>4000000</v>
      </c>
      <c r="J30" s="31"/>
    </row>
    <row r="31" spans="1:10" x14ac:dyDescent="0.45">
      <c r="A31" s="3">
        <v>30</v>
      </c>
      <c r="B31" s="8" t="s">
        <v>110</v>
      </c>
      <c r="C31" s="6" t="s">
        <v>111</v>
      </c>
      <c r="D31" s="3" t="s">
        <v>143</v>
      </c>
      <c r="E31" s="3" t="s">
        <v>445</v>
      </c>
      <c r="F31" s="60">
        <f t="shared" si="3"/>
        <v>4400000</v>
      </c>
      <c r="G31" s="30">
        <f t="shared" si="4"/>
        <v>4000000</v>
      </c>
      <c r="H31" s="29">
        <f t="shared" si="5"/>
        <v>400000</v>
      </c>
      <c r="I31" s="31">
        <v>4000000</v>
      </c>
      <c r="J31" s="31"/>
    </row>
    <row r="32" spans="1:10" x14ac:dyDescent="0.45">
      <c r="A32" s="3">
        <v>31</v>
      </c>
      <c r="B32" s="8" t="s">
        <v>114</v>
      </c>
      <c r="C32" s="6" t="s">
        <v>116</v>
      </c>
      <c r="D32" s="3" t="s">
        <v>143</v>
      </c>
      <c r="E32" s="3" t="s">
        <v>441</v>
      </c>
      <c r="F32" s="60">
        <f t="shared" si="3"/>
        <v>4510000</v>
      </c>
      <c r="G32" s="30">
        <f t="shared" si="4"/>
        <v>4100000</v>
      </c>
      <c r="H32" s="29">
        <f t="shared" si="5"/>
        <v>410000</v>
      </c>
      <c r="I32" s="31">
        <f>SUM(고정일!E32)</f>
        <v>4100000</v>
      </c>
      <c r="J32" s="31"/>
    </row>
    <row r="33" spans="1:10" x14ac:dyDescent="0.45">
      <c r="A33" s="3">
        <v>32</v>
      </c>
      <c r="B33" s="8" t="s">
        <v>118</v>
      </c>
      <c r="C33" s="6" t="s">
        <v>120</v>
      </c>
      <c r="D33" s="3" t="s">
        <v>143</v>
      </c>
      <c r="E33" s="3" t="s">
        <v>440</v>
      </c>
      <c r="F33" s="60">
        <f t="shared" si="3"/>
        <v>4510000</v>
      </c>
      <c r="G33" s="30">
        <f t="shared" si="4"/>
        <v>4100000</v>
      </c>
      <c r="H33" s="29">
        <f t="shared" si="5"/>
        <v>410000</v>
      </c>
      <c r="I33" s="31">
        <f>SUM(고정일!E32)</f>
        <v>4100000</v>
      </c>
      <c r="J33" s="31"/>
    </row>
    <row r="34" spans="1:10" x14ac:dyDescent="0.45">
      <c r="A34" s="9">
        <v>33</v>
      </c>
      <c r="B34" s="8" t="s">
        <v>121</v>
      </c>
      <c r="C34" s="6" t="s">
        <v>123</v>
      </c>
      <c r="D34" s="3" t="s">
        <v>143</v>
      </c>
      <c r="E34" s="3" t="s">
        <v>471</v>
      </c>
      <c r="F34" s="60">
        <f t="shared" si="3"/>
        <v>11220000</v>
      </c>
      <c r="G34" s="30">
        <f t="shared" si="4"/>
        <v>10200000</v>
      </c>
      <c r="H34" s="29">
        <f t="shared" si="5"/>
        <v>1020000</v>
      </c>
      <c r="I34" s="31">
        <f>SUM(고정일!E33)</f>
        <v>10200000</v>
      </c>
      <c r="J34" s="57"/>
    </row>
    <row r="35" spans="1:10" x14ac:dyDescent="0.45">
      <c r="A35" s="3">
        <v>34</v>
      </c>
      <c r="B35" s="10" t="s">
        <v>125</v>
      </c>
      <c r="C35" s="12" t="s">
        <v>127</v>
      </c>
      <c r="D35" s="3" t="s">
        <v>143</v>
      </c>
      <c r="E35" s="9" t="s">
        <v>446</v>
      </c>
      <c r="F35" s="60">
        <f t="shared" si="3"/>
        <v>4950000</v>
      </c>
      <c r="G35" s="30">
        <f t="shared" si="4"/>
        <v>4500000</v>
      </c>
      <c r="H35" s="29">
        <f t="shared" si="5"/>
        <v>450000</v>
      </c>
      <c r="I35" s="31">
        <f>SUM(고정일!E35)</f>
        <v>4500000</v>
      </c>
      <c r="J35" s="57"/>
    </row>
    <row r="36" spans="1:10" x14ac:dyDescent="0.45">
      <c r="A36" s="3">
        <v>35</v>
      </c>
      <c r="B36" s="10" t="s">
        <v>262</v>
      </c>
      <c r="C36" s="12" t="s">
        <v>259</v>
      </c>
      <c r="D36" s="3" t="s">
        <v>143</v>
      </c>
      <c r="E36" s="9" t="s">
        <v>472</v>
      </c>
      <c r="F36" s="60">
        <f t="shared" si="3"/>
        <v>4950000</v>
      </c>
      <c r="G36" s="30">
        <f>SUM(I36+J36)</f>
        <v>4500000</v>
      </c>
      <c r="H36" s="29">
        <f>G36*10%</f>
        <v>450000</v>
      </c>
      <c r="I36" s="31">
        <f>SUM(고정일!E35)</f>
        <v>4500000</v>
      </c>
      <c r="J36" s="57"/>
    </row>
    <row r="37" spans="1:10" x14ac:dyDescent="0.45">
      <c r="A37" s="9">
        <v>36</v>
      </c>
      <c r="B37" s="10"/>
      <c r="C37" s="12"/>
      <c r="D37" s="3"/>
      <c r="E37" s="9"/>
      <c r="F37" s="60"/>
      <c r="G37" s="30"/>
      <c r="H37" s="29">
        <f t="shared" si="2"/>
        <v>0</v>
      </c>
      <c r="I37" s="31">
        <f>SUM(고정일!E37)</f>
        <v>0</v>
      </c>
      <c r="J37" s="57"/>
    </row>
    <row r="38" spans="1:10" x14ac:dyDescent="0.45">
      <c r="A38" s="3">
        <v>37</v>
      </c>
      <c r="B38" s="10"/>
      <c r="C38" s="12"/>
      <c r="D38" s="3"/>
      <c r="E38" s="9"/>
      <c r="F38" s="60"/>
      <c r="G38" s="30"/>
      <c r="H38" s="29">
        <f t="shared" si="2"/>
        <v>0</v>
      </c>
      <c r="I38" s="31">
        <f>SUM(고정일!E38)</f>
        <v>0</v>
      </c>
      <c r="J38" s="57"/>
    </row>
    <row r="39" spans="1:10" x14ac:dyDescent="0.45">
      <c r="A39" s="3">
        <v>38</v>
      </c>
      <c r="B39" s="3"/>
      <c r="C39" s="59"/>
      <c r="D39" s="3"/>
      <c r="E39" s="3"/>
      <c r="F39" s="60"/>
      <c r="G39" s="30"/>
      <c r="H39" s="29">
        <f t="shared" si="2"/>
        <v>0</v>
      </c>
      <c r="I39" s="31">
        <f>SUM(고정일!E39)</f>
        <v>0</v>
      </c>
      <c r="J39" s="32"/>
    </row>
    <row r="40" spans="1:10" x14ac:dyDescent="0.45">
      <c r="A40" s="3"/>
      <c r="B40" s="3"/>
      <c r="C40" s="59"/>
      <c r="D40" s="3"/>
      <c r="E40" s="3"/>
      <c r="F40" s="60"/>
      <c r="G40" s="30"/>
      <c r="H40" s="33"/>
      <c r="I40" s="32"/>
      <c r="J40" s="32"/>
    </row>
    <row r="41" spans="1:10" x14ac:dyDescent="0.45">
      <c r="A41" s="3"/>
      <c r="B41" s="3"/>
      <c r="C41" s="59"/>
      <c r="D41" s="3"/>
      <c r="E41" s="3"/>
      <c r="F41" s="5">
        <f>SUM(F2:F40)</f>
        <v>222073922.40000001</v>
      </c>
      <c r="G41" s="5">
        <f>SUM(G2:G40)</f>
        <v>201885384</v>
      </c>
      <c r="H41" s="34">
        <f>SUM(H2:H40)</f>
        <v>20188538.399999999</v>
      </c>
      <c r="I41" s="5">
        <f>SUM(I2:I40)</f>
        <v>200475384</v>
      </c>
      <c r="J41" s="32">
        <f>SUM(J2:J40)</f>
        <v>1410000</v>
      </c>
    </row>
    <row r="42" spans="1:10" x14ac:dyDescent="0.45">
      <c r="A42" s="3"/>
      <c r="B42" s="3"/>
      <c r="C42" s="59"/>
      <c r="D42" s="3"/>
      <c r="E42" s="3"/>
      <c r="F42" s="3"/>
      <c r="G42" s="5">
        <f>G41*12</f>
        <v>2422624608</v>
      </c>
      <c r="H42" s="27"/>
      <c r="I42" s="5">
        <f>I41*12</f>
        <v>2405704608</v>
      </c>
      <c r="J42" s="32"/>
    </row>
  </sheetData>
  <autoFilter ref="A1:J39" xr:uid="{8BA1C26C-47B0-4F68-85A7-A44B9C4216CF}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65FB-1225-478E-9B5B-6DE0098B81FE}">
  <sheetPr codeName="Sheet5"/>
  <dimension ref="B2:O57"/>
  <sheetViews>
    <sheetView showGridLines="0" workbookViewId="0">
      <selection activeCell="J10" sqref="J10"/>
    </sheetView>
  </sheetViews>
  <sheetFormatPr defaultRowHeight="17" x14ac:dyDescent="0.45"/>
  <cols>
    <col min="1" max="1" width="1.58203125" customWidth="1"/>
    <col min="2" max="3" width="16.58203125" customWidth="1"/>
    <col min="4" max="5" width="14.58203125" customWidth="1"/>
    <col min="6" max="6" width="13.58203125" customWidth="1"/>
    <col min="7" max="9" width="16.58203125" customWidth="1"/>
    <col min="10" max="10" width="12.58203125" customWidth="1"/>
    <col min="11" max="11" width="16.58203125" customWidth="1"/>
    <col min="12" max="12" width="12.58203125" customWidth="1"/>
    <col min="13" max="13" width="16.58203125" customWidth="1"/>
    <col min="14" max="15" width="12.58203125" customWidth="1"/>
  </cols>
  <sheetData>
    <row r="2" spans="2:13" x14ac:dyDescent="0.45">
      <c r="B2" s="106" t="s">
        <v>419</v>
      </c>
      <c r="C2" s="106"/>
      <c r="G2" s="109" t="s">
        <v>418</v>
      </c>
      <c r="H2" s="110"/>
      <c r="I2" s="111"/>
    </row>
    <row r="3" spans="2:13" x14ac:dyDescent="0.45">
      <c r="B3" s="106"/>
      <c r="C3" s="106"/>
      <c r="G3" s="112"/>
      <c r="H3" s="113"/>
      <c r="I3" s="114"/>
    </row>
    <row r="4" spans="2:13" ht="22" customHeight="1" x14ac:dyDescent="0.45">
      <c r="B4" s="86" t="s">
        <v>413</v>
      </c>
      <c r="C4" s="83"/>
      <c r="G4" s="1"/>
      <c r="H4" s="107"/>
      <c r="I4" s="107"/>
    </row>
    <row r="5" spans="2:13" ht="22" customHeight="1" x14ac:dyDescent="0.45">
      <c r="B5" s="86" t="s">
        <v>1</v>
      </c>
      <c r="C5" s="3"/>
      <c r="G5" s="115" t="s">
        <v>417</v>
      </c>
      <c r="H5" s="115"/>
      <c r="I5" s="115"/>
    </row>
    <row r="6" spans="2:13" ht="22" customHeight="1" x14ac:dyDescent="0.45">
      <c r="B6" s="86" t="s">
        <v>8</v>
      </c>
      <c r="C6" s="3"/>
      <c r="G6" s="85" t="s">
        <v>416</v>
      </c>
      <c r="H6" s="108"/>
      <c r="I6" s="108"/>
      <c r="K6" s="3" t="s">
        <v>420</v>
      </c>
      <c r="L6" s="96">
        <f>SUM(H21:H56,J21:J55,J56,L21:L56,N21:N56)</f>
        <v>199580000</v>
      </c>
      <c r="M6" s="97"/>
    </row>
    <row r="7" spans="2:13" ht="22" customHeight="1" x14ac:dyDescent="0.45">
      <c r="B7" s="86" t="s">
        <v>2</v>
      </c>
      <c r="C7" s="3"/>
      <c r="G7" s="86" t="s">
        <v>415</v>
      </c>
      <c r="H7" s="104" cm="1">
        <f t="array" ref="H7">_xlfn._xlws.FILTER(표1[전화번호],표1[기사명]=H6)</f>
        <v>0</v>
      </c>
      <c r="I7" s="105"/>
    </row>
    <row r="8" spans="2:13" ht="22" customHeight="1" x14ac:dyDescent="0.45">
      <c r="B8" s="86" t="s">
        <v>412</v>
      </c>
      <c r="C8" s="3"/>
      <c r="G8" s="86" t="s">
        <v>2</v>
      </c>
      <c r="H8" s="104" cm="1">
        <f t="array" ref="H8">_xlfn._xlws.FILTER(표1[차량번호],표1[기사명]=H6)</f>
        <v>0</v>
      </c>
      <c r="I8" s="105"/>
    </row>
    <row r="9" spans="2:13" ht="22" customHeight="1" x14ac:dyDescent="0.45">
      <c r="B9" s="86" t="s">
        <v>411</v>
      </c>
      <c r="C9" s="3"/>
      <c r="G9" s="86" t="s">
        <v>207</v>
      </c>
      <c r="H9" s="104" cm="1">
        <f t="array" ref="H9">_xlfn._xlws.FILTER(표1[차량제원],표1[기사명]=H6)</f>
        <v>0</v>
      </c>
      <c r="I9" s="105"/>
    </row>
    <row r="10" spans="2:13" ht="22" customHeight="1" x14ac:dyDescent="0.45">
      <c r="B10" s="86" t="s">
        <v>5</v>
      </c>
      <c r="C10" s="4"/>
      <c r="G10" s="84"/>
      <c r="H10" s="86" t="s">
        <v>414</v>
      </c>
      <c r="I10" s="86" t="s">
        <v>5</v>
      </c>
    </row>
    <row r="11" spans="2:13" ht="22" customHeight="1" x14ac:dyDescent="0.45">
      <c r="B11" s="86" t="s">
        <v>410</v>
      </c>
      <c r="C11" s="3"/>
      <c r="G11" s="86" t="s">
        <v>411</v>
      </c>
      <c r="H11" s="89" cm="1">
        <f t="array" ref="H11">_xlfn._xlws.FILTER(표1[노선1],표1[기사명]=H6)</f>
        <v>0</v>
      </c>
      <c r="I11" s="87" cm="1">
        <f t="array" ref="I11">_xlfn._xlws.FILTER(표1[운송료],표1[기사명]=H6)</f>
        <v>0</v>
      </c>
    </row>
    <row r="12" spans="2:13" ht="22" customHeight="1" x14ac:dyDescent="0.45">
      <c r="B12" s="86" t="s">
        <v>5</v>
      </c>
      <c r="C12" s="4"/>
      <c r="G12" s="86" t="s">
        <v>410</v>
      </c>
      <c r="H12" s="89" cm="1">
        <f t="array" ref="H12">_xlfn._xlws.FILTER(표1[노선2],표1[기사명]=H6)</f>
        <v>0</v>
      </c>
      <c r="I12" s="87" cm="1">
        <f t="array" ref="I12">_xlfn._xlws.FILTER(표1[운송료2],표1[기사명]=H6)</f>
        <v>0</v>
      </c>
    </row>
    <row r="13" spans="2:13" ht="22" customHeight="1" x14ac:dyDescent="0.45">
      <c r="B13" s="86" t="s">
        <v>408</v>
      </c>
      <c r="C13" s="3"/>
      <c r="G13" s="86" t="s">
        <v>408</v>
      </c>
      <c r="H13" s="89" cm="1">
        <f t="array" ref="H13">_xlfn._xlws.FILTER(표1[노선3],표1[기사명]=H6)</f>
        <v>0</v>
      </c>
      <c r="I13" s="87" cm="1">
        <f t="array" ref="I13">_xlfn._xlws.FILTER(표1[운송료3],표1[기사명]=H6)</f>
        <v>0</v>
      </c>
    </row>
    <row r="14" spans="2:13" ht="22" customHeight="1" x14ac:dyDescent="0.45">
      <c r="B14" s="86" t="s">
        <v>5</v>
      </c>
      <c r="C14" s="4"/>
      <c r="G14" s="86" t="s">
        <v>406</v>
      </c>
      <c r="H14" s="87" cm="1">
        <f t="array" ref="H14">_xlfn._xlws.FILTER(표1[노선4],표1[기사명]=H6)</f>
        <v>0</v>
      </c>
      <c r="I14" s="88" cm="1">
        <f t="array" ref="I14">_xlfn._xlws.FILTER(표1[운송료4],표1[기사명]=H6)</f>
        <v>0</v>
      </c>
    </row>
    <row r="15" spans="2:13" ht="22" customHeight="1" x14ac:dyDescent="0.45">
      <c r="B15" s="86" t="s">
        <v>406</v>
      </c>
      <c r="C15" s="3"/>
      <c r="G15" s="98" t="s">
        <v>132</v>
      </c>
      <c r="H15" s="100" cm="1">
        <f t="array" ref="H15">_xlfn._xlws.FILTER(표1[총 운송료],표1[기사명]=H6)</f>
        <v>0</v>
      </c>
      <c r="I15" s="101"/>
    </row>
    <row r="16" spans="2:13" ht="22" customHeight="1" x14ac:dyDescent="0.45">
      <c r="B16" s="86" t="s">
        <v>5</v>
      </c>
      <c r="C16" s="4"/>
      <c r="G16" s="99"/>
      <c r="H16" s="102"/>
      <c r="I16" s="103"/>
    </row>
    <row r="20" spans="2:15" x14ac:dyDescent="0.45">
      <c r="B20" s="14" t="s">
        <v>413</v>
      </c>
      <c r="C20" s="14" t="s">
        <v>1</v>
      </c>
      <c r="D20" s="14" t="s">
        <v>8</v>
      </c>
      <c r="E20" s="14" t="s">
        <v>2</v>
      </c>
      <c r="F20" s="14" t="s">
        <v>412</v>
      </c>
      <c r="G20" s="14" t="s">
        <v>411</v>
      </c>
      <c r="H20" s="14" t="s">
        <v>5</v>
      </c>
      <c r="I20" s="14" t="s">
        <v>410</v>
      </c>
      <c r="J20" s="14" t="s">
        <v>409</v>
      </c>
      <c r="K20" s="14" t="s">
        <v>408</v>
      </c>
      <c r="L20" s="14" t="s">
        <v>407</v>
      </c>
      <c r="M20" s="14" t="s">
        <v>406</v>
      </c>
      <c r="N20" s="14" t="s">
        <v>405</v>
      </c>
      <c r="O20" s="14" t="s">
        <v>132</v>
      </c>
    </row>
    <row r="21" spans="2:15" x14ac:dyDescent="0.45">
      <c r="B21" s="83" t="s">
        <v>404</v>
      </c>
      <c r="C21" s="3" t="s">
        <v>125</v>
      </c>
      <c r="D21" s="3" t="s">
        <v>403</v>
      </c>
      <c r="E21" s="3" t="s">
        <v>402</v>
      </c>
      <c r="F21" s="3" t="s">
        <v>289</v>
      </c>
      <c r="G21" s="3" t="s">
        <v>401</v>
      </c>
      <c r="H21" s="4">
        <v>2500000</v>
      </c>
      <c r="I21" s="3" t="s">
        <v>400</v>
      </c>
      <c r="J21" s="4">
        <v>1800000</v>
      </c>
      <c r="K21" s="3"/>
      <c r="L21" s="4"/>
      <c r="M21" s="3"/>
      <c r="N21" s="4"/>
      <c r="O21" s="80">
        <f t="shared" ref="O21:O56" si="0">SUM(N21,L21,J21,H21)</f>
        <v>4300000</v>
      </c>
    </row>
    <row r="22" spans="2:15" x14ac:dyDescent="0.45">
      <c r="B22" s="83" t="s">
        <v>399</v>
      </c>
      <c r="C22" s="3" t="s">
        <v>121</v>
      </c>
      <c r="D22" s="3" t="s">
        <v>230</v>
      </c>
      <c r="E22" s="3" t="s">
        <v>229</v>
      </c>
      <c r="F22" s="3" t="s">
        <v>292</v>
      </c>
      <c r="G22" s="3" t="s">
        <v>288</v>
      </c>
      <c r="H22" s="4">
        <v>3200000</v>
      </c>
      <c r="I22" s="3" t="s">
        <v>398</v>
      </c>
      <c r="J22" s="4">
        <v>3200000</v>
      </c>
      <c r="K22" s="3" t="s">
        <v>397</v>
      </c>
      <c r="L22" s="4">
        <v>3800000</v>
      </c>
      <c r="M22" s="3"/>
      <c r="N22" s="4"/>
      <c r="O22" s="80">
        <f t="shared" si="0"/>
        <v>10200000</v>
      </c>
    </row>
    <row r="23" spans="2:15" x14ac:dyDescent="0.45">
      <c r="B23" s="83" t="s">
        <v>396</v>
      </c>
      <c r="C23" s="3" t="s">
        <v>118</v>
      </c>
      <c r="D23" s="3" t="s">
        <v>176</v>
      </c>
      <c r="E23" s="3" t="s">
        <v>177</v>
      </c>
      <c r="F23" s="3" t="s">
        <v>317</v>
      </c>
      <c r="G23" s="3" t="s">
        <v>291</v>
      </c>
      <c r="H23" s="4">
        <v>2000000</v>
      </c>
      <c r="I23" s="3" t="s">
        <v>290</v>
      </c>
      <c r="J23" s="4">
        <v>2100000</v>
      </c>
      <c r="K23" s="3"/>
      <c r="L23" s="4"/>
      <c r="M23" s="3"/>
      <c r="N23" s="4"/>
      <c r="O23" s="80">
        <f t="shared" si="0"/>
        <v>4100000</v>
      </c>
    </row>
    <row r="24" spans="2:15" x14ac:dyDescent="0.45">
      <c r="B24" s="83" t="s">
        <v>310</v>
      </c>
      <c r="C24" s="3" t="s">
        <v>114</v>
      </c>
      <c r="D24" s="3" t="s">
        <v>395</v>
      </c>
      <c r="E24" s="3" t="s">
        <v>202</v>
      </c>
      <c r="F24" s="3" t="s">
        <v>292</v>
      </c>
      <c r="G24" s="3" t="s">
        <v>394</v>
      </c>
      <c r="H24" s="4">
        <v>3500000</v>
      </c>
      <c r="I24" s="3" t="s">
        <v>393</v>
      </c>
      <c r="J24" s="4">
        <v>3200000</v>
      </c>
      <c r="K24" s="3" t="s">
        <v>392</v>
      </c>
      <c r="L24" s="4">
        <v>3200000</v>
      </c>
      <c r="M24" s="3"/>
      <c r="N24" s="4"/>
      <c r="O24" s="80">
        <f t="shared" si="0"/>
        <v>9900000</v>
      </c>
    </row>
    <row r="25" spans="2:15" x14ac:dyDescent="0.45">
      <c r="B25" s="83" t="s">
        <v>371</v>
      </c>
      <c r="C25" s="3" t="s">
        <v>110</v>
      </c>
      <c r="D25" s="3" t="s">
        <v>111</v>
      </c>
      <c r="E25" s="3" t="s">
        <v>391</v>
      </c>
      <c r="F25" s="3" t="s">
        <v>292</v>
      </c>
      <c r="G25" s="3" t="s">
        <v>350</v>
      </c>
      <c r="H25" s="4">
        <v>4000000</v>
      </c>
      <c r="I25" s="3"/>
      <c r="J25" s="4"/>
      <c r="K25" s="3"/>
      <c r="L25" s="4"/>
      <c r="M25" s="3"/>
      <c r="N25" s="4"/>
      <c r="O25" s="80">
        <f t="shared" si="0"/>
        <v>4000000</v>
      </c>
    </row>
    <row r="26" spans="2:15" x14ac:dyDescent="0.45">
      <c r="B26" s="83" t="s">
        <v>384</v>
      </c>
      <c r="C26" s="3" t="s">
        <v>107</v>
      </c>
      <c r="D26" s="3" t="s">
        <v>390</v>
      </c>
      <c r="E26" s="3" t="s">
        <v>389</v>
      </c>
      <c r="F26" s="3" t="s">
        <v>388</v>
      </c>
      <c r="G26" s="3" t="s">
        <v>387</v>
      </c>
      <c r="H26" s="4">
        <v>4000000</v>
      </c>
      <c r="I26" s="3"/>
      <c r="J26" s="4"/>
      <c r="K26" s="3"/>
      <c r="L26" s="4"/>
      <c r="M26" s="3"/>
      <c r="N26" s="4"/>
      <c r="O26" s="80">
        <f t="shared" si="0"/>
        <v>4000000</v>
      </c>
    </row>
    <row r="27" spans="2:15" x14ac:dyDescent="0.45">
      <c r="B27" s="83" t="s">
        <v>337</v>
      </c>
      <c r="C27" s="3" t="s">
        <v>103</v>
      </c>
      <c r="D27" s="3" t="s">
        <v>386</v>
      </c>
      <c r="E27" s="3" t="s">
        <v>385</v>
      </c>
      <c r="F27" s="3" t="s">
        <v>292</v>
      </c>
      <c r="G27" s="3" t="s">
        <v>332</v>
      </c>
      <c r="H27" s="4">
        <v>3500000</v>
      </c>
      <c r="I27" s="3"/>
      <c r="J27" s="4"/>
      <c r="K27" s="3"/>
      <c r="L27" s="4"/>
      <c r="M27" s="3"/>
      <c r="N27" s="4"/>
      <c r="O27" s="80">
        <f t="shared" si="0"/>
        <v>3500000</v>
      </c>
    </row>
    <row r="28" spans="2:15" x14ac:dyDescent="0.45">
      <c r="B28" s="83" t="s">
        <v>384</v>
      </c>
      <c r="C28" s="3" t="s">
        <v>100</v>
      </c>
      <c r="D28" s="3" t="s">
        <v>383</v>
      </c>
      <c r="E28" s="3" t="s">
        <v>382</v>
      </c>
      <c r="F28" s="3" t="s">
        <v>292</v>
      </c>
      <c r="G28" s="3" t="s">
        <v>381</v>
      </c>
      <c r="H28" s="4">
        <v>4000000</v>
      </c>
      <c r="I28" s="3"/>
      <c r="J28" s="4"/>
      <c r="K28" s="3"/>
      <c r="L28" s="4"/>
      <c r="M28" s="3"/>
      <c r="N28" s="4"/>
      <c r="O28" s="80">
        <f t="shared" si="0"/>
        <v>4000000</v>
      </c>
    </row>
    <row r="29" spans="2:15" x14ac:dyDescent="0.45">
      <c r="B29" s="83" t="s">
        <v>380</v>
      </c>
      <c r="C29" s="3" t="s">
        <v>257</v>
      </c>
      <c r="D29" s="3" t="s">
        <v>259</v>
      </c>
      <c r="E29" s="3" t="s">
        <v>258</v>
      </c>
      <c r="F29" s="3" t="s">
        <v>292</v>
      </c>
      <c r="G29" s="3" t="s">
        <v>379</v>
      </c>
      <c r="H29" s="4">
        <v>4500000</v>
      </c>
      <c r="I29" s="3"/>
      <c r="J29" s="4"/>
      <c r="K29" s="3"/>
      <c r="L29" s="4"/>
      <c r="M29" s="3"/>
      <c r="N29" s="4"/>
      <c r="O29" s="80">
        <f t="shared" si="0"/>
        <v>4500000</v>
      </c>
    </row>
    <row r="30" spans="2:15" x14ac:dyDescent="0.45">
      <c r="B30" s="83">
        <v>45962</v>
      </c>
      <c r="C30" s="3" t="s">
        <v>97</v>
      </c>
      <c r="D30" s="3" t="s">
        <v>319</v>
      </c>
      <c r="E30" s="3" t="s">
        <v>378</v>
      </c>
      <c r="F30" s="3" t="s">
        <v>289</v>
      </c>
      <c r="G30" s="3" t="s">
        <v>377</v>
      </c>
      <c r="H30" s="4">
        <v>3400000</v>
      </c>
      <c r="I30" s="3" t="s">
        <v>376</v>
      </c>
      <c r="J30" s="4">
        <v>5000000</v>
      </c>
      <c r="K30" s="3" t="s">
        <v>375</v>
      </c>
      <c r="L30" s="4">
        <v>4500000</v>
      </c>
      <c r="M30" s="3"/>
      <c r="N30" s="4"/>
      <c r="O30" s="80">
        <f t="shared" si="0"/>
        <v>12900000</v>
      </c>
    </row>
    <row r="31" spans="2:15" x14ac:dyDescent="0.45">
      <c r="B31" s="83" t="s">
        <v>374</v>
      </c>
      <c r="C31" s="3" t="s">
        <v>93</v>
      </c>
      <c r="D31" s="3" t="s">
        <v>234</v>
      </c>
      <c r="E31" s="3" t="s">
        <v>233</v>
      </c>
      <c r="F31" s="3" t="s">
        <v>367</v>
      </c>
      <c r="G31" s="3" t="s">
        <v>373</v>
      </c>
      <c r="H31" s="4">
        <v>1300000</v>
      </c>
      <c r="I31" s="3" t="s">
        <v>372</v>
      </c>
      <c r="J31" s="4">
        <v>4200000</v>
      </c>
      <c r="K31" s="3"/>
      <c r="L31" s="4"/>
      <c r="M31" s="3"/>
      <c r="N31" s="4"/>
      <c r="O31" s="80">
        <f t="shared" si="0"/>
        <v>5500000</v>
      </c>
    </row>
    <row r="32" spans="2:15" x14ac:dyDescent="0.45">
      <c r="B32" s="83" t="s">
        <v>371</v>
      </c>
      <c r="C32" s="3" t="s">
        <v>91</v>
      </c>
      <c r="D32" s="3" t="s">
        <v>92</v>
      </c>
      <c r="E32" s="3" t="s">
        <v>370</v>
      </c>
      <c r="F32" s="3" t="s">
        <v>289</v>
      </c>
      <c r="G32" s="3" t="s">
        <v>366</v>
      </c>
      <c r="H32" s="4">
        <v>4400000</v>
      </c>
      <c r="I32" s="3"/>
      <c r="J32" s="4"/>
      <c r="K32" s="3"/>
      <c r="L32" s="4"/>
      <c r="M32" s="3"/>
      <c r="N32" s="4"/>
      <c r="O32" s="80">
        <f t="shared" si="0"/>
        <v>4400000</v>
      </c>
    </row>
    <row r="33" spans="2:15" x14ac:dyDescent="0.45">
      <c r="B33" s="83" t="s">
        <v>331</v>
      </c>
      <c r="C33" s="3" t="s">
        <v>83</v>
      </c>
      <c r="D33" s="3" t="s">
        <v>369</v>
      </c>
      <c r="E33" s="3" t="s">
        <v>368</v>
      </c>
      <c r="F33" s="3" t="s">
        <v>367</v>
      </c>
      <c r="G33" s="3" t="s">
        <v>366</v>
      </c>
      <c r="H33" s="4">
        <v>4400000</v>
      </c>
      <c r="I33" s="3"/>
      <c r="J33" s="4"/>
      <c r="K33" s="3"/>
      <c r="L33" s="4"/>
      <c r="M33" s="3"/>
      <c r="N33" s="4"/>
      <c r="O33" s="80">
        <f t="shared" si="0"/>
        <v>4400000</v>
      </c>
    </row>
    <row r="34" spans="2:15" x14ac:dyDescent="0.45">
      <c r="B34" s="83" t="s">
        <v>362</v>
      </c>
      <c r="C34" s="3" t="s">
        <v>79</v>
      </c>
      <c r="D34" s="3" t="s">
        <v>174</v>
      </c>
      <c r="E34" s="3" t="s">
        <v>175</v>
      </c>
      <c r="F34" s="3" t="s">
        <v>317</v>
      </c>
      <c r="G34" s="3" t="s">
        <v>365</v>
      </c>
      <c r="H34" s="4">
        <v>3000000</v>
      </c>
      <c r="I34" s="3" t="s">
        <v>364</v>
      </c>
      <c r="J34" s="4">
        <v>2300000</v>
      </c>
      <c r="K34" s="3" t="s">
        <v>363</v>
      </c>
      <c r="L34" s="4">
        <v>2750000</v>
      </c>
      <c r="M34" s="3" t="s">
        <v>300</v>
      </c>
      <c r="N34" s="4">
        <v>1250000</v>
      </c>
      <c r="O34" s="80">
        <f t="shared" si="0"/>
        <v>9300000</v>
      </c>
    </row>
    <row r="35" spans="2:15" x14ac:dyDescent="0.45">
      <c r="B35" s="83" t="s">
        <v>362</v>
      </c>
      <c r="C35" s="3" t="s">
        <v>361</v>
      </c>
      <c r="D35" s="3" t="s">
        <v>78</v>
      </c>
      <c r="E35" s="3" t="s">
        <v>360</v>
      </c>
      <c r="F35" s="3" t="s">
        <v>292</v>
      </c>
      <c r="G35" s="3" t="s">
        <v>359</v>
      </c>
      <c r="H35" s="4">
        <v>4200000</v>
      </c>
      <c r="I35" s="3"/>
      <c r="J35" s="4"/>
      <c r="K35" s="3"/>
      <c r="L35" s="4"/>
      <c r="M35" s="3"/>
      <c r="N35" s="4"/>
      <c r="O35" s="80">
        <f t="shared" si="0"/>
        <v>4200000</v>
      </c>
    </row>
    <row r="36" spans="2:15" x14ac:dyDescent="0.45">
      <c r="B36" s="83" t="s">
        <v>331</v>
      </c>
      <c r="C36" s="3" t="s">
        <v>358</v>
      </c>
      <c r="D36" s="3" t="s">
        <v>357</v>
      </c>
      <c r="E36" s="3" t="s">
        <v>356</v>
      </c>
      <c r="F36" s="3" t="s">
        <v>292</v>
      </c>
      <c r="G36" s="3" t="s">
        <v>355</v>
      </c>
      <c r="H36" s="4">
        <v>4200000</v>
      </c>
      <c r="I36" s="3"/>
      <c r="J36" s="4"/>
      <c r="K36" s="3"/>
      <c r="L36" s="4"/>
      <c r="M36" s="3"/>
      <c r="N36" s="4"/>
      <c r="O36" s="80">
        <f t="shared" si="0"/>
        <v>4200000</v>
      </c>
    </row>
    <row r="37" spans="2:15" x14ac:dyDescent="0.45">
      <c r="B37" s="83" t="s">
        <v>354</v>
      </c>
      <c r="C37" s="3" t="s">
        <v>72</v>
      </c>
      <c r="D37" s="3" t="s">
        <v>73</v>
      </c>
      <c r="E37" s="3" t="s">
        <v>353</v>
      </c>
      <c r="F37" s="3" t="s">
        <v>292</v>
      </c>
      <c r="G37" s="3" t="s">
        <v>352</v>
      </c>
      <c r="H37" s="4">
        <v>4500000</v>
      </c>
      <c r="I37" s="3"/>
      <c r="J37" s="4"/>
      <c r="K37" s="3"/>
      <c r="L37" s="4"/>
      <c r="M37" s="3"/>
      <c r="N37" s="4"/>
      <c r="O37" s="80">
        <f t="shared" si="0"/>
        <v>4500000</v>
      </c>
    </row>
    <row r="38" spans="2:15" x14ac:dyDescent="0.45">
      <c r="B38" s="83">
        <v>46129</v>
      </c>
      <c r="C38" s="3" t="s">
        <v>263</v>
      </c>
      <c r="D38" s="3" t="s">
        <v>266</v>
      </c>
      <c r="E38" s="3" t="s">
        <v>265</v>
      </c>
      <c r="F38" s="3" t="s">
        <v>351</v>
      </c>
      <c r="G38" s="3" t="s">
        <v>350</v>
      </c>
      <c r="H38" s="4">
        <v>4800000</v>
      </c>
      <c r="I38" s="3"/>
      <c r="J38" s="4"/>
      <c r="K38" s="3"/>
      <c r="L38" s="4"/>
      <c r="M38" s="3"/>
      <c r="N38" s="4"/>
      <c r="O38" s="80">
        <f t="shared" si="0"/>
        <v>4800000</v>
      </c>
    </row>
    <row r="39" spans="2:15" x14ac:dyDescent="0.45">
      <c r="B39" s="83" t="s">
        <v>349</v>
      </c>
      <c r="C39" s="3" t="s">
        <v>348</v>
      </c>
      <c r="D39" s="3" t="s">
        <v>347</v>
      </c>
      <c r="E39" s="3" t="s">
        <v>346</v>
      </c>
      <c r="F39" s="3" t="s">
        <v>309</v>
      </c>
      <c r="G39" s="3" t="s">
        <v>345</v>
      </c>
      <c r="H39" s="4">
        <v>3300000</v>
      </c>
      <c r="I39" s="3"/>
      <c r="J39" s="4"/>
      <c r="K39" s="3"/>
      <c r="L39" s="4"/>
      <c r="M39" s="3"/>
      <c r="N39" s="4"/>
      <c r="O39" s="80">
        <f t="shared" si="0"/>
        <v>3300000</v>
      </c>
    </row>
    <row r="40" spans="2:15" x14ac:dyDescent="0.45">
      <c r="B40" s="83" t="s">
        <v>344</v>
      </c>
      <c r="C40" s="3" t="s">
        <v>65</v>
      </c>
      <c r="D40" s="3" t="s">
        <v>67</v>
      </c>
      <c r="E40" s="3" t="s">
        <v>343</v>
      </c>
      <c r="F40" s="3" t="s">
        <v>317</v>
      </c>
      <c r="G40" s="3" t="s">
        <v>342</v>
      </c>
      <c r="H40" s="4">
        <v>3300000</v>
      </c>
      <c r="I40" s="3" t="s">
        <v>341</v>
      </c>
      <c r="J40" s="4">
        <v>280000</v>
      </c>
      <c r="K40" s="3"/>
      <c r="L40" s="4"/>
      <c r="M40" s="3"/>
      <c r="N40" s="4"/>
      <c r="O40" s="80">
        <f t="shared" si="0"/>
        <v>3580000</v>
      </c>
    </row>
    <row r="41" spans="2:15" x14ac:dyDescent="0.45">
      <c r="B41" s="83" t="s">
        <v>340</v>
      </c>
      <c r="C41" s="3" t="s">
        <v>60</v>
      </c>
      <c r="D41" s="3" t="s">
        <v>284</v>
      </c>
      <c r="E41" s="3" t="s">
        <v>283</v>
      </c>
      <c r="F41" s="3" t="s">
        <v>317</v>
      </c>
      <c r="G41" s="3" t="s">
        <v>339</v>
      </c>
      <c r="H41" s="4">
        <v>3800000</v>
      </c>
      <c r="I41" s="3" t="s">
        <v>338</v>
      </c>
      <c r="J41" s="4">
        <v>4000000</v>
      </c>
      <c r="K41" s="3"/>
      <c r="L41" s="4"/>
      <c r="M41" s="3"/>
      <c r="N41" s="4"/>
      <c r="O41" s="80">
        <f t="shared" si="0"/>
        <v>7800000</v>
      </c>
    </row>
    <row r="42" spans="2:15" x14ac:dyDescent="0.45">
      <c r="B42" s="83" t="s">
        <v>337</v>
      </c>
      <c r="C42" s="3" t="s">
        <v>55</v>
      </c>
      <c r="D42" s="3" t="s">
        <v>58</v>
      </c>
      <c r="E42" s="3" t="s">
        <v>336</v>
      </c>
      <c r="F42" s="3" t="s">
        <v>292</v>
      </c>
      <c r="G42" s="3" t="s">
        <v>335</v>
      </c>
      <c r="H42" s="4">
        <v>3000000</v>
      </c>
      <c r="I42" s="3"/>
      <c r="J42" s="4"/>
      <c r="K42" s="3"/>
      <c r="L42" s="4"/>
      <c r="M42" s="3"/>
      <c r="N42" s="4"/>
      <c r="O42" s="80">
        <f t="shared" si="0"/>
        <v>3000000</v>
      </c>
    </row>
    <row r="43" spans="2:15" x14ac:dyDescent="0.45">
      <c r="B43" s="83" t="s">
        <v>334</v>
      </c>
      <c r="C43" s="3" t="s">
        <v>53</v>
      </c>
      <c r="D43" s="3" t="s">
        <v>57</v>
      </c>
      <c r="E43" s="3" t="s">
        <v>333</v>
      </c>
      <c r="F43" s="3" t="s">
        <v>292</v>
      </c>
      <c r="G43" s="3" t="s">
        <v>332</v>
      </c>
      <c r="H43" s="4">
        <v>3500000</v>
      </c>
      <c r="I43" s="3"/>
      <c r="J43" s="4"/>
      <c r="K43" s="3"/>
      <c r="L43" s="4"/>
      <c r="M43" s="3"/>
      <c r="N43" s="4"/>
      <c r="O43" s="80">
        <f t="shared" si="0"/>
        <v>3500000</v>
      </c>
    </row>
    <row r="44" spans="2:15" x14ac:dyDescent="0.45">
      <c r="B44" s="83" t="s">
        <v>331</v>
      </c>
      <c r="C44" s="3" t="s">
        <v>49</v>
      </c>
      <c r="D44" s="3" t="s">
        <v>246</v>
      </c>
      <c r="E44" s="3" t="s">
        <v>245</v>
      </c>
      <c r="F44" s="3" t="s">
        <v>309</v>
      </c>
      <c r="G44" s="3" t="s">
        <v>330</v>
      </c>
      <c r="H44" s="4">
        <v>2800000</v>
      </c>
      <c r="I44" s="3"/>
      <c r="J44" s="4"/>
      <c r="K44" s="3"/>
      <c r="L44" s="4"/>
      <c r="M44" s="3"/>
      <c r="N44" s="4"/>
      <c r="O44" s="80">
        <f t="shared" si="0"/>
        <v>2800000</v>
      </c>
    </row>
    <row r="45" spans="2:15" x14ac:dyDescent="0.45">
      <c r="B45" s="83" t="s">
        <v>329</v>
      </c>
      <c r="C45" s="3" t="s">
        <v>46</v>
      </c>
      <c r="D45" s="3" t="s">
        <v>47</v>
      </c>
      <c r="E45" s="3" t="s">
        <v>328</v>
      </c>
      <c r="F45" s="3" t="s">
        <v>292</v>
      </c>
      <c r="G45" s="3" t="s">
        <v>327</v>
      </c>
      <c r="H45" s="4">
        <v>6000000</v>
      </c>
      <c r="I45" s="3"/>
      <c r="J45" s="4"/>
      <c r="K45" s="3"/>
      <c r="L45" s="4"/>
      <c r="M45" s="3"/>
      <c r="N45" s="4"/>
      <c r="O45" s="80">
        <f t="shared" si="0"/>
        <v>6000000</v>
      </c>
    </row>
    <row r="46" spans="2:15" x14ac:dyDescent="0.45">
      <c r="B46" s="83" t="s">
        <v>326</v>
      </c>
      <c r="C46" s="3" t="s">
        <v>44</v>
      </c>
      <c r="D46" s="3" t="s">
        <v>45</v>
      </c>
      <c r="E46" s="3" t="s">
        <v>325</v>
      </c>
      <c r="F46" s="3" t="s">
        <v>324</v>
      </c>
      <c r="G46" s="3" t="s">
        <v>290</v>
      </c>
      <c r="H46" s="4">
        <v>2200000</v>
      </c>
      <c r="I46" s="3"/>
      <c r="J46" s="4"/>
      <c r="K46" s="3"/>
      <c r="L46" s="4"/>
      <c r="M46" s="3"/>
      <c r="N46" s="4"/>
      <c r="O46" s="80">
        <f t="shared" si="0"/>
        <v>2200000</v>
      </c>
    </row>
    <row r="47" spans="2:15" x14ac:dyDescent="0.45">
      <c r="B47" s="83" t="s">
        <v>323</v>
      </c>
      <c r="C47" s="3" t="s">
        <v>41</v>
      </c>
      <c r="D47" s="3" t="s">
        <v>42</v>
      </c>
      <c r="E47" s="3" t="s">
        <v>322</v>
      </c>
      <c r="F47" s="3" t="s">
        <v>292</v>
      </c>
      <c r="G47" s="3" t="s">
        <v>321</v>
      </c>
      <c r="H47" s="4">
        <v>4500000</v>
      </c>
      <c r="I47" s="3"/>
      <c r="J47" s="4"/>
      <c r="K47" s="3"/>
      <c r="L47" s="4"/>
      <c r="M47" s="3"/>
      <c r="N47" s="4"/>
      <c r="O47" s="80">
        <f t="shared" si="0"/>
        <v>4500000</v>
      </c>
    </row>
    <row r="48" spans="2:15" x14ac:dyDescent="0.45">
      <c r="B48" s="83" t="s">
        <v>320</v>
      </c>
      <c r="C48" s="3" t="s">
        <v>36</v>
      </c>
      <c r="D48" s="3" t="s">
        <v>319</v>
      </c>
      <c r="E48" s="3" t="s">
        <v>318</v>
      </c>
      <c r="F48" s="3" t="s">
        <v>317</v>
      </c>
      <c r="G48" s="3" t="s">
        <v>316</v>
      </c>
      <c r="H48" s="4">
        <v>3000000</v>
      </c>
      <c r="I48" s="3" t="s">
        <v>315</v>
      </c>
      <c r="J48" s="4">
        <v>4500000</v>
      </c>
      <c r="K48" s="3"/>
      <c r="L48" s="4"/>
      <c r="M48" s="3"/>
      <c r="N48" s="4"/>
      <c r="O48" s="80">
        <f t="shared" si="0"/>
        <v>7500000</v>
      </c>
    </row>
    <row r="49" spans="2:15" x14ac:dyDescent="0.45">
      <c r="B49" s="83" t="s">
        <v>314</v>
      </c>
      <c r="C49" s="3" t="s">
        <v>32</v>
      </c>
      <c r="D49" s="3" t="s">
        <v>313</v>
      </c>
      <c r="E49" s="3" t="s">
        <v>33</v>
      </c>
      <c r="F49" s="3" t="s">
        <v>312</v>
      </c>
      <c r="G49" s="3" t="s">
        <v>311</v>
      </c>
      <c r="H49" s="4">
        <v>3500000</v>
      </c>
      <c r="I49" s="3"/>
      <c r="J49" s="4"/>
      <c r="K49" s="3"/>
      <c r="L49" s="4"/>
      <c r="M49" s="3"/>
      <c r="N49" s="4"/>
      <c r="O49" s="80">
        <f t="shared" si="0"/>
        <v>3500000</v>
      </c>
    </row>
    <row r="50" spans="2:15" x14ac:dyDescent="0.45">
      <c r="B50" s="83" t="s">
        <v>310</v>
      </c>
      <c r="C50" s="3" t="s">
        <v>28</v>
      </c>
      <c r="D50" s="3" t="s">
        <v>30</v>
      </c>
      <c r="E50" s="3" t="s">
        <v>29</v>
      </c>
      <c r="F50" s="3" t="s">
        <v>309</v>
      </c>
      <c r="G50" s="3" t="s">
        <v>308</v>
      </c>
      <c r="H50" s="4">
        <v>3500000</v>
      </c>
      <c r="I50" s="3" t="s">
        <v>307</v>
      </c>
      <c r="J50" s="4">
        <v>2800000</v>
      </c>
      <c r="K50" s="3"/>
      <c r="L50" s="4"/>
      <c r="M50" s="3"/>
      <c r="N50" s="4"/>
      <c r="O50" s="80">
        <f t="shared" si="0"/>
        <v>6300000</v>
      </c>
    </row>
    <row r="51" spans="2:15" x14ac:dyDescent="0.45">
      <c r="B51" s="83" t="s">
        <v>306</v>
      </c>
      <c r="C51" s="3" t="s">
        <v>23</v>
      </c>
      <c r="D51" s="3" t="s">
        <v>25</v>
      </c>
      <c r="E51" s="3" t="s">
        <v>305</v>
      </c>
      <c r="F51" s="3" t="s">
        <v>292</v>
      </c>
      <c r="G51" s="3" t="s">
        <v>304</v>
      </c>
      <c r="H51" s="4">
        <v>4100000</v>
      </c>
      <c r="I51" s="3" t="s">
        <v>303</v>
      </c>
      <c r="J51" s="4">
        <v>4300000</v>
      </c>
      <c r="K51" s="3"/>
      <c r="L51" s="4"/>
      <c r="M51" s="3"/>
      <c r="N51" s="4"/>
      <c r="O51" s="80">
        <f t="shared" si="0"/>
        <v>8400000</v>
      </c>
    </row>
    <row r="52" spans="2:15" x14ac:dyDescent="0.45">
      <c r="B52" s="83">
        <v>46113</v>
      </c>
      <c r="C52" s="3" t="s">
        <v>17</v>
      </c>
      <c r="D52" s="3" t="s">
        <v>286</v>
      </c>
      <c r="E52" s="3" t="s">
        <v>302</v>
      </c>
      <c r="F52" s="3" t="s">
        <v>292</v>
      </c>
      <c r="G52" s="3" t="s">
        <v>301</v>
      </c>
      <c r="H52" s="4">
        <v>3800000</v>
      </c>
      <c r="I52" s="3" t="s">
        <v>300</v>
      </c>
      <c r="J52" s="4">
        <v>4000000</v>
      </c>
      <c r="K52" s="3" t="s">
        <v>299</v>
      </c>
      <c r="L52" s="4">
        <v>2500000</v>
      </c>
      <c r="M52" s="3"/>
      <c r="N52" s="4"/>
      <c r="O52" s="80">
        <f t="shared" si="0"/>
        <v>10300000</v>
      </c>
    </row>
    <row r="53" spans="2:15" x14ac:dyDescent="0.45">
      <c r="B53" s="83" t="s">
        <v>298</v>
      </c>
      <c r="C53" s="3" t="s">
        <v>12</v>
      </c>
      <c r="D53" s="3" t="s">
        <v>13</v>
      </c>
      <c r="E53" s="3" t="s">
        <v>200</v>
      </c>
      <c r="F53" s="3" t="s">
        <v>297</v>
      </c>
      <c r="G53" s="3" t="s">
        <v>296</v>
      </c>
      <c r="H53" s="4">
        <v>3400000</v>
      </c>
      <c r="I53" s="3" t="s">
        <v>295</v>
      </c>
      <c r="J53" s="4">
        <v>3400000</v>
      </c>
      <c r="K53" s="3" t="s">
        <v>294</v>
      </c>
      <c r="L53" s="4">
        <v>2500000</v>
      </c>
      <c r="M53" s="3"/>
      <c r="N53" s="4"/>
      <c r="O53" s="80">
        <f t="shared" si="0"/>
        <v>9300000</v>
      </c>
    </row>
    <row r="54" spans="2:15" x14ac:dyDescent="0.45">
      <c r="B54" s="83" t="s">
        <v>293</v>
      </c>
      <c r="C54" s="3" t="s">
        <v>0</v>
      </c>
      <c r="D54" s="3" t="s">
        <v>10</v>
      </c>
      <c r="E54" s="3" t="s">
        <v>201</v>
      </c>
      <c r="F54" s="3" t="s">
        <v>292</v>
      </c>
      <c r="G54" s="3" t="s">
        <v>288</v>
      </c>
      <c r="H54" s="4">
        <v>3200000</v>
      </c>
      <c r="I54" s="3" t="s">
        <v>291</v>
      </c>
      <c r="J54" s="4">
        <v>2000000</v>
      </c>
      <c r="K54" s="3" t="s">
        <v>290</v>
      </c>
      <c r="L54" s="4">
        <v>2000000</v>
      </c>
      <c r="M54" s="3"/>
      <c r="N54" s="4"/>
      <c r="O54" s="80">
        <f t="shared" si="0"/>
        <v>7200000</v>
      </c>
    </row>
    <row r="55" spans="2:15" x14ac:dyDescent="0.45">
      <c r="B55" s="83">
        <v>43232</v>
      </c>
      <c r="C55" s="3" t="s">
        <v>129</v>
      </c>
      <c r="D55" s="3" t="s">
        <v>131</v>
      </c>
      <c r="E55" s="3" t="s">
        <v>192</v>
      </c>
      <c r="F55" s="3" t="s">
        <v>289</v>
      </c>
      <c r="G55" s="3" t="s">
        <v>288</v>
      </c>
      <c r="H55" s="4">
        <v>3900000</v>
      </c>
      <c r="I55" s="3" t="s">
        <v>287</v>
      </c>
      <c r="J55" s="4">
        <v>3800000</v>
      </c>
      <c r="K55" s="3"/>
      <c r="L55" s="4"/>
      <c r="M55" s="3"/>
      <c r="N55" s="4"/>
      <c r="O55" s="80">
        <f t="shared" si="0"/>
        <v>7700000</v>
      </c>
    </row>
    <row r="56" spans="2:15" x14ac:dyDescent="0.45">
      <c r="B56" s="83"/>
      <c r="C56" s="3"/>
      <c r="D56" s="3"/>
      <c r="E56" s="3"/>
      <c r="F56" s="3"/>
      <c r="G56" s="3"/>
      <c r="H56" s="4"/>
      <c r="I56" s="3"/>
      <c r="J56" s="4"/>
      <c r="K56" s="3"/>
      <c r="L56" s="4"/>
      <c r="M56" s="3"/>
      <c r="N56" s="4"/>
      <c r="O56" s="82">
        <f t="shared" si="0"/>
        <v>0</v>
      </c>
    </row>
    <row r="57" spans="2:15" x14ac:dyDescent="0.45">
      <c r="O57" s="81"/>
    </row>
  </sheetData>
  <mergeCells count="11">
    <mergeCell ref="B2:C3"/>
    <mergeCell ref="H4:I4"/>
    <mergeCell ref="H6:I6"/>
    <mergeCell ref="G2:I3"/>
    <mergeCell ref="G5:I5"/>
    <mergeCell ref="L6:M6"/>
    <mergeCell ref="G15:G16"/>
    <mergeCell ref="H15:I16"/>
    <mergeCell ref="H7:I7"/>
    <mergeCell ref="H8:I8"/>
    <mergeCell ref="H9:I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기사정보등록">
                <anchor moveWithCells="1" sizeWithCells="1">
                  <from>
                    <xdr:col>3</xdr:col>
                    <xdr:colOff>146050</xdr:colOff>
                    <xdr:row>0</xdr:row>
                    <xdr:rowOff>196850</xdr:rowOff>
                  </from>
                  <to>
                    <xdr:col>4</xdr:col>
                    <xdr:colOff>63500</xdr:colOff>
                    <xdr:row>16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B0A3-76B3-4565-9934-F129002373DE}">
  <dimension ref="B1:DS34"/>
  <sheetViews>
    <sheetView showGridLines="0" tabSelected="1" workbookViewId="0">
      <selection activeCell="J20" sqref="J20"/>
    </sheetView>
  </sheetViews>
  <sheetFormatPr defaultRowHeight="17" x14ac:dyDescent="0.45"/>
  <cols>
    <col min="1" max="1" width="8.6640625" style="91"/>
    <col min="2" max="25" width="10.58203125" style="91" customWidth="1"/>
    <col min="26" max="16384" width="8.6640625" style="91"/>
  </cols>
  <sheetData>
    <row r="1" spans="2:20" x14ac:dyDescent="0.45">
      <c r="B1" s="144"/>
      <c r="C1" s="144"/>
      <c r="D1" s="144"/>
      <c r="E1" s="144"/>
      <c r="F1" s="144"/>
      <c r="G1" s="144"/>
      <c r="H1" s="144"/>
      <c r="I1" s="144"/>
      <c r="J1" s="144"/>
    </row>
    <row r="2" spans="2:20" x14ac:dyDescent="0.45">
      <c r="B2" s="144"/>
      <c r="C2" s="144"/>
      <c r="D2" s="144"/>
      <c r="E2" s="144"/>
      <c r="F2" s="144"/>
      <c r="G2" s="144"/>
      <c r="H2" s="144"/>
      <c r="I2" s="144"/>
      <c r="J2" s="144"/>
    </row>
    <row r="3" spans="2:20" ht="17" customHeight="1" x14ac:dyDescent="0.45">
      <c r="B3" s="149" t="s">
        <v>419</v>
      </c>
      <c r="C3" s="150"/>
      <c r="D3" s="150"/>
      <c r="E3" s="150"/>
      <c r="F3" s="150"/>
      <c r="G3" s="167"/>
      <c r="H3" s="156"/>
      <c r="I3" s="157"/>
      <c r="J3" s="157"/>
      <c r="K3" s="94"/>
      <c r="M3" s="119" t="s">
        <v>474</v>
      </c>
      <c r="N3" s="120"/>
      <c r="O3" s="120"/>
      <c r="P3" s="120"/>
      <c r="Q3" s="127"/>
      <c r="R3" s="128"/>
      <c r="S3" s="128"/>
      <c r="T3" s="129"/>
    </row>
    <row r="4" spans="2:20" ht="17" customHeight="1" x14ac:dyDescent="0.45">
      <c r="B4" s="151"/>
      <c r="C4" s="152"/>
      <c r="D4" s="152"/>
      <c r="E4" s="152"/>
      <c r="F4" s="152"/>
      <c r="G4" s="168"/>
      <c r="H4" s="156"/>
      <c r="I4" s="157"/>
      <c r="J4" s="157"/>
      <c r="K4" s="94"/>
      <c r="M4" s="121"/>
      <c r="N4" s="122"/>
      <c r="O4" s="122"/>
      <c r="P4" s="122"/>
      <c r="Q4" s="130"/>
      <c r="R4" s="131"/>
      <c r="S4" s="131"/>
      <c r="T4" s="132"/>
    </row>
    <row r="5" spans="2:20" ht="20" customHeight="1" x14ac:dyDescent="0.45">
      <c r="B5" s="145" t="s">
        <v>413</v>
      </c>
      <c r="C5" s="145" t="s">
        <v>1</v>
      </c>
      <c r="D5" s="146" t="s">
        <v>8</v>
      </c>
      <c r="E5" s="146" t="s">
        <v>2</v>
      </c>
      <c r="F5" s="146" t="s">
        <v>207</v>
      </c>
      <c r="G5" s="153" t="s">
        <v>475</v>
      </c>
      <c r="H5" s="158"/>
      <c r="I5" s="159"/>
      <c r="J5" s="159"/>
      <c r="K5" s="95"/>
      <c r="M5" s="123" t="s">
        <v>413</v>
      </c>
      <c r="N5" s="123"/>
      <c r="O5" s="124" t="s">
        <v>8</v>
      </c>
      <c r="P5" s="126"/>
      <c r="Q5" s="124" t="s">
        <v>2</v>
      </c>
      <c r="R5" s="125"/>
      <c r="S5" s="93" t="s">
        <v>207</v>
      </c>
      <c r="T5" s="93" t="s">
        <v>475</v>
      </c>
    </row>
    <row r="6" spans="2:20" ht="20" customHeight="1" x14ac:dyDescent="0.45">
      <c r="B6" s="147"/>
      <c r="C6" s="147"/>
      <c r="D6" s="183"/>
      <c r="E6" s="183"/>
      <c r="F6" s="183"/>
      <c r="G6" s="184"/>
      <c r="H6" s="158"/>
      <c r="I6" s="159"/>
      <c r="J6" s="159"/>
      <c r="K6" s="95"/>
      <c r="M6" s="172" cm="1">
        <f t="array" ref="M6">_xlfn._xlws.FILTER(표4[시작일자],표4[기사명]=Q3)</f>
        <v>0</v>
      </c>
      <c r="N6" s="172"/>
      <c r="O6" s="173" cm="1">
        <f t="array" ref="O6">_xlfn._xlws.FILTER(표4[전화번호],표4[기사명]=Q3)</f>
        <v>0</v>
      </c>
      <c r="P6" s="174"/>
      <c r="Q6" s="173" cm="1">
        <f t="array" ref="Q6">_xlfn._xlws.FILTER(표4[차량번호],표4[기사명]=Q3)</f>
        <v>0</v>
      </c>
      <c r="R6" s="175"/>
      <c r="S6" s="176" cm="1">
        <f t="array" ref="S6">_xlfn._xlws.FILTER(표4[제원],표4[기사명]=Q3)</f>
        <v>0</v>
      </c>
      <c r="T6" s="176" cm="1">
        <f t="array" ref="T6">_xlfn._xlws.FILTER(표4[적재량],표4[기사명]=Q3)</f>
        <v>0</v>
      </c>
    </row>
    <row r="7" spans="2:20" ht="20" customHeight="1" x14ac:dyDescent="0.45">
      <c r="B7" s="116"/>
      <c r="C7" s="116"/>
      <c r="D7" s="92" t="s">
        <v>6</v>
      </c>
      <c r="E7" s="92" t="s">
        <v>7</v>
      </c>
      <c r="F7" s="92" t="s">
        <v>5</v>
      </c>
      <c r="G7" s="169"/>
      <c r="H7" s="160"/>
      <c r="I7" s="161"/>
      <c r="J7" s="162"/>
      <c r="K7" s="95"/>
      <c r="M7" s="116"/>
      <c r="N7" s="116"/>
      <c r="O7" s="117" t="s">
        <v>6</v>
      </c>
      <c r="P7" s="117"/>
      <c r="Q7" s="117" t="s">
        <v>7</v>
      </c>
      <c r="R7" s="117"/>
      <c r="S7" s="117" t="s">
        <v>5</v>
      </c>
      <c r="T7" s="117"/>
    </row>
    <row r="8" spans="2:20" ht="20" customHeight="1" x14ac:dyDescent="0.45">
      <c r="B8" s="118" t="s">
        <v>411</v>
      </c>
      <c r="C8" s="118"/>
      <c r="D8" s="136"/>
      <c r="E8" s="148"/>
      <c r="F8" s="155"/>
      <c r="G8" s="170"/>
      <c r="H8" s="163"/>
      <c r="I8" s="164"/>
      <c r="J8" s="162"/>
      <c r="K8" s="95"/>
      <c r="M8" s="118" t="s">
        <v>411</v>
      </c>
      <c r="N8" s="118"/>
      <c r="O8" s="177" cm="1">
        <f t="array" ref="O8">_xlfn._xlws.FILTER(표4[노선1],표4[기사명]=Q3)</f>
        <v>0</v>
      </c>
      <c r="P8" s="177"/>
      <c r="Q8" s="177" cm="1">
        <f t="array" ref="Q8">_xlfn._xlws.FILTER(표4[하차지],표4[기사명]=Q3)</f>
        <v>0</v>
      </c>
      <c r="R8" s="177"/>
      <c r="S8" s="178" cm="1">
        <f t="array" ref="S8">_xlfn._xlws.FILTER(표4[운송료],표4[기사명]=Q3)</f>
        <v>0</v>
      </c>
      <c r="T8" s="178"/>
    </row>
    <row r="9" spans="2:20" ht="20" customHeight="1" x14ac:dyDescent="0.45">
      <c r="B9" s="118" t="s">
        <v>410</v>
      </c>
      <c r="C9" s="118"/>
      <c r="D9" s="148"/>
      <c r="E9" s="148"/>
      <c r="F9" s="155"/>
      <c r="G9" s="170"/>
      <c r="H9" s="163"/>
      <c r="I9" s="164"/>
      <c r="J9" s="162"/>
      <c r="K9" s="95"/>
      <c r="M9" s="118" t="s">
        <v>410</v>
      </c>
      <c r="N9" s="118"/>
      <c r="O9" s="177" cm="1">
        <f t="array" ref="O9">_xlfn._xlws.FILTER(표4[노선2],표4[기사명]=Q3)</f>
        <v>0</v>
      </c>
      <c r="P9" s="177"/>
      <c r="Q9" s="177" cm="1">
        <f t="array" ref="Q9">_xlfn._xlws.FILTER(표4[하차지2],표4[기사명]=Q3)</f>
        <v>0</v>
      </c>
      <c r="R9" s="177"/>
      <c r="S9" s="178" cm="1">
        <f t="array" ref="S9">_xlfn._xlws.FILTER(표4[운송료3],표4[기사명]=Q3)</f>
        <v>0</v>
      </c>
      <c r="T9" s="178"/>
    </row>
    <row r="10" spans="2:20" ht="20" customHeight="1" x14ac:dyDescent="0.45">
      <c r="B10" s="118" t="s">
        <v>408</v>
      </c>
      <c r="C10" s="118"/>
      <c r="D10" s="136"/>
      <c r="E10" s="148"/>
      <c r="F10" s="155"/>
      <c r="G10" s="170"/>
      <c r="H10" s="163"/>
      <c r="I10" s="164"/>
      <c r="J10" s="162"/>
      <c r="K10" s="95"/>
      <c r="M10" s="118" t="s">
        <v>408</v>
      </c>
      <c r="N10" s="118"/>
      <c r="O10" s="177" cm="1">
        <f t="array" ref="O10">_xlfn._xlws.FILTER(표4[노선3],표4[기사명]=Q3)</f>
        <v>0</v>
      </c>
      <c r="P10" s="177"/>
      <c r="Q10" s="177" cm="1">
        <f t="array" ref="Q10">_xlfn._xlws.FILTER(표4[하차지4],표4[기사명]=Q3)</f>
        <v>0</v>
      </c>
      <c r="R10" s="177"/>
      <c r="S10" s="178" cm="1">
        <f t="array" ref="S10">_xlfn._xlws.FILTER(표4[운송료5],표4[기사명]=Q3)</f>
        <v>0</v>
      </c>
      <c r="T10" s="178"/>
    </row>
    <row r="11" spans="2:20" ht="20" customHeight="1" x14ac:dyDescent="0.45">
      <c r="B11" s="118" t="s">
        <v>406</v>
      </c>
      <c r="C11" s="118"/>
      <c r="D11" s="148"/>
      <c r="E11" s="148"/>
      <c r="F11" s="155"/>
      <c r="G11" s="170"/>
      <c r="H11" s="163"/>
      <c r="I11" s="164"/>
      <c r="J11" s="162"/>
      <c r="K11" s="95"/>
      <c r="M11" s="118" t="s">
        <v>406</v>
      </c>
      <c r="N11" s="118"/>
      <c r="O11" s="177" cm="1">
        <f t="array" ref="O11">_xlfn._xlws.FILTER(표4[노선4],표4[기사명]=Q3)</f>
        <v>0</v>
      </c>
      <c r="P11" s="177"/>
      <c r="Q11" s="177" cm="1">
        <f t="array" ref="Q11">_xlfn._xlws.FILTER(표4[하차지6],표4[기사명]=Q3)</f>
        <v>0</v>
      </c>
      <c r="R11" s="177"/>
      <c r="S11" s="178" cm="1">
        <f t="array" ref="S11">_xlfn._xlws.FILTER(표4[운송료7],표4[기사명]=Q3)</f>
        <v>0</v>
      </c>
      <c r="T11" s="178"/>
    </row>
    <row r="12" spans="2:20" ht="20" customHeight="1" x14ac:dyDescent="0.45">
      <c r="B12" s="118" t="s">
        <v>473</v>
      </c>
      <c r="C12" s="118"/>
      <c r="D12" s="136"/>
      <c r="E12" s="148"/>
      <c r="F12" s="155"/>
      <c r="G12" s="170"/>
      <c r="H12" s="163"/>
      <c r="I12" s="164"/>
      <c r="J12" s="162"/>
      <c r="K12" s="95"/>
      <c r="M12" s="118" t="s">
        <v>473</v>
      </c>
      <c r="N12" s="118"/>
      <c r="O12" s="177" cm="1">
        <f t="array" ref="O12">_xlfn._xlws.FILTER(표4[노선5],표4[기사명]=Q3)</f>
        <v>0</v>
      </c>
      <c r="P12" s="177"/>
      <c r="Q12" s="177" cm="1">
        <f t="array" ref="Q12">_xlfn._xlws.FILTER(표4[하차지8],표4[기사명]=Q3)</f>
        <v>0</v>
      </c>
      <c r="R12" s="177"/>
      <c r="S12" s="178" cm="1">
        <f t="array" ref="S12">_xlfn._xlws.FILTER(표4[운송료9],표4[기사명]=Q3)</f>
        <v>0</v>
      </c>
      <c r="T12" s="178"/>
    </row>
    <row r="13" spans="2:20" ht="20" customHeight="1" x14ac:dyDescent="0.45">
      <c r="B13" s="118" t="s">
        <v>482</v>
      </c>
      <c r="C13" s="118"/>
      <c r="D13" s="148"/>
      <c r="E13" s="148"/>
      <c r="F13" s="155"/>
      <c r="G13" s="170"/>
      <c r="H13" s="163"/>
      <c r="I13" s="164"/>
      <c r="J13" s="162"/>
      <c r="K13" s="95"/>
      <c r="M13" s="118" t="s">
        <v>484</v>
      </c>
      <c r="N13" s="118"/>
      <c r="O13" s="177" cm="1">
        <f t="array" ref="O13">_xlfn._xlws.FILTER(표4[용차],표4[기사명]=Q3)</f>
        <v>0</v>
      </c>
      <c r="P13" s="177"/>
      <c r="Q13" s="177" cm="1">
        <f t="array" ref="Q13">_xlfn._xlws.FILTER(표4[하차지3],표4[기사명]=Q3)</f>
        <v>0</v>
      </c>
      <c r="R13" s="177"/>
      <c r="S13" s="178" cm="1">
        <f t="array" ref="S13">_xlfn._xlws.FILTER(표4[용차료],표4[기사명]=Q3)</f>
        <v>0</v>
      </c>
      <c r="T13" s="178"/>
    </row>
    <row r="14" spans="2:20" ht="20" customHeight="1" x14ac:dyDescent="0.45">
      <c r="B14" s="118"/>
      <c r="C14" s="118"/>
      <c r="D14" s="143"/>
      <c r="E14" s="143"/>
      <c r="F14" s="143"/>
      <c r="G14" s="170"/>
      <c r="H14" s="165"/>
      <c r="I14" s="166"/>
      <c r="J14" s="162"/>
      <c r="K14" s="95"/>
      <c r="M14" s="118" t="s">
        <v>483</v>
      </c>
      <c r="N14" s="118"/>
      <c r="O14" s="177"/>
      <c r="P14" s="177"/>
      <c r="Q14" s="177"/>
      <c r="R14" s="177"/>
      <c r="S14" s="178">
        <f>SUM(S8:T13)</f>
        <v>0</v>
      </c>
      <c r="T14" s="178"/>
    </row>
    <row r="15" spans="2:20" ht="20" customHeight="1" x14ac:dyDescent="0.45">
      <c r="B15" s="118"/>
      <c r="C15" s="118"/>
      <c r="D15" s="143"/>
      <c r="E15" s="143"/>
      <c r="F15" s="143"/>
      <c r="G15" s="171"/>
      <c r="H15" s="165"/>
      <c r="I15" s="166"/>
      <c r="J15" s="162"/>
      <c r="K15" s="95"/>
      <c r="M15" s="141"/>
      <c r="N15" s="141"/>
      <c r="O15" s="179"/>
      <c r="P15" s="179"/>
      <c r="Q15" s="179"/>
      <c r="R15" s="179"/>
      <c r="S15" s="180"/>
      <c r="T15" s="180"/>
    </row>
    <row r="16" spans="2:20" ht="20" customHeight="1" x14ac:dyDescent="0.45">
      <c r="M16" s="142"/>
      <c r="N16" s="142"/>
      <c r="O16" s="181"/>
      <c r="P16" s="181"/>
      <c r="Q16" s="181"/>
      <c r="R16" s="181"/>
      <c r="S16" s="182"/>
      <c r="T16" s="182"/>
    </row>
    <row r="17" spans="2:123" ht="20" customHeight="1" x14ac:dyDescent="0.45">
      <c r="M17" s="142"/>
      <c r="N17" s="142"/>
      <c r="O17" s="133"/>
      <c r="P17" s="133"/>
      <c r="Q17" s="133"/>
      <c r="R17" s="133"/>
      <c r="S17" s="140"/>
      <c r="T17" s="140"/>
    </row>
    <row r="18" spans="2:123" ht="20" customHeight="1" x14ac:dyDescent="0.45">
      <c r="M18" s="142"/>
      <c r="N18" s="142"/>
      <c r="O18" s="133"/>
      <c r="P18" s="133"/>
      <c r="Q18" s="133"/>
      <c r="R18" s="133"/>
      <c r="S18" s="140"/>
      <c r="T18" s="140"/>
    </row>
    <row r="19" spans="2:123" ht="20" customHeight="1" x14ac:dyDescent="0.45">
      <c r="M19" s="142"/>
      <c r="N19" s="142"/>
      <c r="O19" s="133"/>
      <c r="P19" s="133"/>
      <c r="Q19" s="133"/>
      <c r="R19" s="133"/>
      <c r="S19" s="140"/>
      <c r="T19" s="140"/>
    </row>
    <row r="20" spans="2:123" ht="20" customHeight="1" x14ac:dyDescent="0.45">
      <c r="M20" s="142"/>
      <c r="N20" s="142"/>
      <c r="O20" s="133"/>
      <c r="P20" s="133"/>
      <c r="Q20" s="133"/>
      <c r="R20" s="133"/>
      <c r="S20" s="140"/>
      <c r="T20" s="140"/>
    </row>
    <row r="21" spans="2:123" ht="20" customHeight="1" x14ac:dyDescent="0.45">
      <c r="M21" s="142"/>
      <c r="N21" s="142"/>
      <c r="O21" s="133"/>
      <c r="P21" s="133"/>
      <c r="Q21" s="133"/>
      <c r="R21" s="133"/>
      <c r="S21" s="140"/>
      <c r="T21" s="140"/>
    </row>
    <row r="22" spans="2:123" ht="20" customHeight="1" x14ac:dyDescent="0.45">
      <c r="M22" s="142"/>
      <c r="N22" s="142"/>
      <c r="O22" s="133"/>
      <c r="P22" s="133"/>
      <c r="Q22" s="133"/>
      <c r="R22" s="133"/>
      <c r="S22" s="140"/>
      <c r="T22" s="140"/>
    </row>
    <row r="23" spans="2:123" ht="20" customHeight="1" x14ac:dyDescent="0.45">
      <c r="M23" s="142"/>
      <c r="N23" s="142"/>
      <c r="O23" s="133"/>
      <c r="P23" s="133"/>
      <c r="Q23" s="133"/>
      <c r="R23" s="133"/>
      <c r="S23" s="140"/>
      <c r="T23" s="140"/>
    </row>
    <row r="30" spans="2:123" x14ac:dyDescent="0.45">
      <c r="B30" s="135"/>
      <c r="C30" s="135"/>
      <c r="D30" s="134"/>
      <c r="E30" s="135"/>
      <c r="F30" s="135"/>
      <c r="G30" s="135"/>
      <c r="H30" s="135"/>
      <c r="I30" s="134"/>
      <c r="J30" s="134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  <c r="BA30" s="135"/>
      <c r="BB30" s="135"/>
      <c r="BC30" s="135"/>
      <c r="BD30" s="135"/>
      <c r="BE30" s="135"/>
      <c r="BF30" s="133"/>
      <c r="BG30" s="133"/>
      <c r="BH30" s="133"/>
      <c r="BI30" s="133"/>
      <c r="BJ30" s="133"/>
      <c r="BK30" s="133"/>
      <c r="BL30" s="133"/>
      <c r="BM30" s="133"/>
      <c r="BN30" s="133"/>
      <c r="BO30" s="133"/>
      <c r="BP30" s="133"/>
      <c r="BQ30" s="133"/>
      <c r="BR30" s="133"/>
      <c r="BS30" s="133"/>
      <c r="BT30" s="133"/>
      <c r="BU30" s="133"/>
      <c r="BV30" s="133"/>
      <c r="BW30" s="133"/>
      <c r="BX30" s="133"/>
      <c r="BY30" s="133"/>
      <c r="BZ30" s="133"/>
      <c r="CA30" s="133"/>
      <c r="CB30" s="133"/>
      <c r="CC30" s="133"/>
      <c r="CD30" s="133"/>
      <c r="CE30" s="133"/>
      <c r="CF30" s="133"/>
      <c r="CG30" s="133"/>
      <c r="CH30" s="133"/>
      <c r="CI30" s="133"/>
      <c r="CJ30" s="133"/>
      <c r="CK30" s="133"/>
      <c r="CL30" s="133"/>
      <c r="CM30" s="133"/>
      <c r="CN30" s="133"/>
      <c r="CO30" s="133"/>
      <c r="CP30" s="133"/>
      <c r="CQ30" s="133"/>
      <c r="CR30" s="133"/>
      <c r="CS30" s="133"/>
      <c r="CT30" s="133"/>
      <c r="CU30" s="133"/>
      <c r="CV30" s="133"/>
      <c r="CW30" s="133"/>
      <c r="CX30" s="133"/>
      <c r="CY30" s="133"/>
      <c r="CZ30" s="133"/>
      <c r="DA30" s="133"/>
      <c r="DB30" s="133"/>
      <c r="DC30" s="133"/>
      <c r="DD30" s="133"/>
      <c r="DE30" s="133"/>
      <c r="DF30" s="133"/>
      <c r="DG30" s="133"/>
      <c r="DH30" s="133"/>
      <c r="DI30" s="133"/>
      <c r="DJ30" s="133"/>
      <c r="DK30" s="133"/>
      <c r="DL30" s="133"/>
      <c r="DM30" s="133"/>
      <c r="DN30" s="133"/>
      <c r="DO30" s="133"/>
      <c r="DP30" s="133"/>
      <c r="DQ30" s="133"/>
      <c r="DR30" s="133"/>
      <c r="DS30" s="133"/>
    </row>
    <row r="31" spans="2:123" x14ac:dyDescent="0.45">
      <c r="B31" s="135"/>
      <c r="C31" s="135"/>
      <c r="D31" s="134"/>
      <c r="E31" s="135"/>
      <c r="F31" s="135"/>
      <c r="G31" s="135"/>
      <c r="H31" s="135"/>
      <c r="I31" s="134"/>
      <c r="J31" s="134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5"/>
      <c r="AX31" s="135"/>
      <c r="AY31" s="135"/>
      <c r="AZ31" s="135"/>
      <c r="BA31" s="135"/>
      <c r="BB31" s="135"/>
      <c r="BC31" s="135"/>
      <c r="BD31" s="135"/>
      <c r="BE31" s="135"/>
      <c r="BF31" s="133"/>
      <c r="BG31" s="133"/>
      <c r="BH31" s="133"/>
      <c r="BI31" s="133"/>
      <c r="BJ31" s="133"/>
      <c r="BK31" s="133"/>
      <c r="BL31" s="133"/>
      <c r="BM31" s="133"/>
      <c r="BN31" s="133"/>
      <c r="BO31" s="133"/>
      <c r="BP31" s="133"/>
      <c r="BQ31" s="133"/>
      <c r="BR31" s="133"/>
      <c r="BS31" s="133"/>
      <c r="BT31" s="133"/>
      <c r="BU31" s="133"/>
      <c r="BV31" s="133"/>
      <c r="BW31" s="133"/>
      <c r="BX31" s="133"/>
      <c r="BY31" s="133"/>
      <c r="BZ31" s="133"/>
      <c r="CA31" s="133"/>
      <c r="CB31" s="133"/>
      <c r="CC31" s="133"/>
      <c r="CD31" s="133"/>
      <c r="CE31" s="133"/>
      <c r="CF31" s="133"/>
      <c r="CG31" s="133"/>
      <c r="CH31" s="133"/>
      <c r="CI31" s="133"/>
      <c r="CJ31" s="133"/>
      <c r="CK31" s="133"/>
      <c r="CL31" s="133"/>
      <c r="CM31" s="133"/>
      <c r="CN31" s="133"/>
      <c r="CO31" s="133"/>
      <c r="CP31" s="133"/>
      <c r="CQ31" s="133"/>
      <c r="CR31" s="133"/>
      <c r="CS31" s="133"/>
      <c r="CT31" s="133"/>
      <c r="CU31" s="133"/>
      <c r="CV31" s="133"/>
      <c r="CW31" s="133"/>
      <c r="CX31" s="133"/>
      <c r="CY31" s="133"/>
      <c r="CZ31" s="133"/>
      <c r="DA31" s="133"/>
      <c r="DB31" s="133"/>
      <c r="DC31" s="133"/>
      <c r="DD31" s="133"/>
      <c r="DE31" s="133"/>
      <c r="DF31" s="133"/>
      <c r="DG31" s="133"/>
      <c r="DH31" s="133"/>
      <c r="DI31" s="133"/>
      <c r="DJ31" s="133"/>
      <c r="DK31" s="133"/>
      <c r="DL31" s="133"/>
      <c r="DM31" s="133"/>
      <c r="DN31" s="133"/>
      <c r="DO31" s="133"/>
      <c r="DP31" s="133"/>
      <c r="DQ31" s="133"/>
      <c r="DR31" s="133"/>
      <c r="DS31" s="133"/>
    </row>
    <row r="32" spans="2:123" x14ac:dyDescent="0.45">
      <c r="B32" s="137" t="s">
        <v>413</v>
      </c>
      <c r="C32" s="138" t="s">
        <v>1</v>
      </c>
      <c r="D32" s="138" t="s">
        <v>8</v>
      </c>
      <c r="E32" s="138" t="s">
        <v>2</v>
      </c>
      <c r="F32" s="138" t="s">
        <v>207</v>
      </c>
      <c r="G32" s="138" t="s">
        <v>475</v>
      </c>
      <c r="H32" s="138" t="s">
        <v>411</v>
      </c>
      <c r="I32" s="138" t="s">
        <v>7</v>
      </c>
      <c r="J32" s="138" t="s">
        <v>5</v>
      </c>
      <c r="K32" s="138" t="s">
        <v>410</v>
      </c>
      <c r="L32" s="138" t="s">
        <v>476</v>
      </c>
      <c r="M32" s="138" t="s">
        <v>407</v>
      </c>
      <c r="N32" s="138" t="s">
        <v>408</v>
      </c>
      <c r="O32" s="138" t="s">
        <v>477</v>
      </c>
      <c r="P32" s="138" t="s">
        <v>478</v>
      </c>
      <c r="Q32" s="138" t="s">
        <v>406</v>
      </c>
      <c r="R32" s="138" t="s">
        <v>479</v>
      </c>
      <c r="S32" s="138" t="s">
        <v>480</v>
      </c>
      <c r="T32" s="138" t="s">
        <v>473</v>
      </c>
      <c r="U32" s="138" t="s">
        <v>485</v>
      </c>
      <c r="V32" s="139" t="s">
        <v>481</v>
      </c>
      <c r="W32" s="138" t="s">
        <v>482</v>
      </c>
      <c r="X32" s="138" t="s">
        <v>486</v>
      </c>
      <c r="Y32" s="138" t="s">
        <v>256</v>
      </c>
    </row>
    <row r="33" spans="2:25" x14ac:dyDescent="0.45">
      <c r="B33" s="147" t="s">
        <v>487</v>
      </c>
      <c r="C33" s="147" t="s">
        <v>129</v>
      </c>
      <c r="D33" s="183" t="s">
        <v>490</v>
      </c>
      <c r="E33" s="183" t="s">
        <v>491</v>
      </c>
      <c r="F33" s="183" t="s">
        <v>492</v>
      </c>
      <c r="G33" s="184" t="s">
        <v>492</v>
      </c>
      <c r="H33" s="136" t="s">
        <v>493</v>
      </c>
      <c r="I33" s="148" t="s">
        <v>488</v>
      </c>
      <c r="J33" s="155">
        <v>1</v>
      </c>
      <c r="K33" s="148" t="s">
        <v>489</v>
      </c>
      <c r="L33" s="148" t="s">
        <v>488</v>
      </c>
      <c r="M33" s="155">
        <v>1</v>
      </c>
      <c r="N33" s="136"/>
      <c r="O33" s="148"/>
      <c r="P33" s="155"/>
      <c r="Q33" s="148"/>
      <c r="R33" s="148"/>
      <c r="S33" s="155"/>
      <c r="T33" s="136"/>
      <c r="U33" s="148"/>
      <c r="V33" s="155"/>
      <c r="W33" s="148"/>
      <c r="X33" s="148"/>
      <c r="Y33" s="155"/>
    </row>
    <row r="34" spans="2:25" x14ac:dyDescent="0.45">
      <c r="B34" s="147"/>
      <c r="C34" s="147"/>
      <c r="D34" s="148"/>
      <c r="E34" s="148"/>
      <c r="F34" s="148"/>
      <c r="G34" s="154"/>
      <c r="H34" s="136"/>
      <c r="I34" s="148"/>
      <c r="J34" s="155"/>
      <c r="K34" s="148"/>
      <c r="L34" s="148"/>
      <c r="M34" s="155"/>
      <c r="N34" s="148"/>
      <c r="O34" s="148"/>
      <c r="P34" s="155"/>
      <c r="Q34" s="148"/>
      <c r="R34" s="148"/>
      <c r="S34" s="155"/>
      <c r="T34" s="148"/>
      <c r="U34" s="148"/>
      <c r="V34" s="155"/>
      <c r="W34" s="148"/>
      <c r="X34" s="148"/>
      <c r="Y34" s="155"/>
    </row>
  </sheetData>
  <mergeCells count="155">
    <mergeCell ref="B3:G4"/>
    <mergeCell ref="G7:G15"/>
    <mergeCell ref="DR31:DS31"/>
    <mergeCell ref="DF31:DG31"/>
    <mergeCell ref="DH31:DI31"/>
    <mergeCell ref="DJ31:DK31"/>
    <mergeCell ref="DL31:DM31"/>
    <mergeCell ref="DN31:DO31"/>
    <mergeCell ref="DP31:DQ31"/>
    <mergeCell ref="CT31:CU31"/>
    <mergeCell ref="CV31:CW31"/>
    <mergeCell ref="CX31:CY31"/>
    <mergeCell ref="CZ31:DA31"/>
    <mergeCell ref="DB31:DC31"/>
    <mergeCell ref="DD31:DE31"/>
    <mergeCell ref="CH31:CI31"/>
    <mergeCell ref="CJ31:CK31"/>
    <mergeCell ref="CL31:CM31"/>
    <mergeCell ref="CN31:CO31"/>
    <mergeCell ref="CP31:CQ31"/>
    <mergeCell ref="CR31:CS31"/>
    <mergeCell ref="BV31:BW31"/>
    <mergeCell ref="BX31:BY31"/>
    <mergeCell ref="BZ31:CA31"/>
    <mergeCell ref="CB31:CC31"/>
    <mergeCell ref="CD31:CE31"/>
    <mergeCell ref="CF31:CG31"/>
    <mergeCell ref="BJ31:BK31"/>
    <mergeCell ref="BL31:BM31"/>
    <mergeCell ref="BN31:BO31"/>
    <mergeCell ref="BP31:BQ31"/>
    <mergeCell ref="BR31:BS31"/>
    <mergeCell ref="BT31:BU31"/>
    <mergeCell ref="BF31:BG31"/>
    <mergeCell ref="BH31:BI31"/>
    <mergeCell ref="DP30:DQ30"/>
    <mergeCell ref="DR30:DS30"/>
    <mergeCell ref="DD30:DE30"/>
    <mergeCell ref="DF30:DG30"/>
    <mergeCell ref="DH30:DI30"/>
    <mergeCell ref="DJ30:DK30"/>
    <mergeCell ref="DL30:DM30"/>
    <mergeCell ref="DN30:DO30"/>
    <mergeCell ref="CR30:CS30"/>
    <mergeCell ref="CT30:CU30"/>
    <mergeCell ref="CV30:CW30"/>
    <mergeCell ref="CX30:CY30"/>
    <mergeCell ref="CZ30:DA30"/>
    <mergeCell ref="DB30:DC30"/>
    <mergeCell ref="CF30:CG30"/>
    <mergeCell ref="CH30:CI30"/>
    <mergeCell ref="CJ30:CK30"/>
    <mergeCell ref="CL30:CM30"/>
    <mergeCell ref="CN30:CO30"/>
    <mergeCell ref="CP30:CQ30"/>
    <mergeCell ref="BT30:BU30"/>
    <mergeCell ref="BV30:BW30"/>
    <mergeCell ref="BX30:BY30"/>
    <mergeCell ref="BZ30:CA30"/>
    <mergeCell ref="CB30:CC30"/>
    <mergeCell ref="CD30:CE30"/>
    <mergeCell ref="BH30:BI30"/>
    <mergeCell ref="BJ30:BK30"/>
    <mergeCell ref="BL30:BM30"/>
    <mergeCell ref="BN30:BO30"/>
    <mergeCell ref="BP30:BQ30"/>
    <mergeCell ref="BR30:BS30"/>
    <mergeCell ref="BF30:BG30"/>
    <mergeCell ref="S23:T23"/>
    <mergeCell ref="O22:P22"/>
    <mergeCell ref="Q22:R22"/>
    <mergeCell ref="S22:T22"/>
    <mergeCell ref="M23:N23"/>
    <mergeCell ref="O23:P23"/>
    <mergeCell ref="Q23:R23"/>
    <mergeCell ref="S19:T19"/>
    <mergeCell ref="O20:P20"/>
    <mergeCell ref="Q20:R20"/>
    <mergeCell ref="S20:T20"/>
    <mergeCell ref="O21:P21"/>
    <mergeCell ref="Q21:R21"/>
    <mergeCell ref="S21:T21"/>
    <mergeCell ref="M20:N20"/>
    <mergeCell ref="M21:N21"/>
    <mergeCell ref="M22:N22"/>
    <mergeCell ref="O16:P16"/>
    <mergeCell ref="Q16:R16"/>
    <mergeCell ref="S16:T16"/>
    <mergeCell ref="O17:P17"/>
    <mergeCell ref="Q17:R17"/>
    <mergeCell ref="S17:T17"/>
    <mergeCell ref="O18:P18"/>
    <mergeCell ref="M3:P4"/>
    <mergeCell ref="Q3:T4"/>
    <mergeCell ref="M16:N16"/>
    <mergeCell ref="M17:N17"/>
    <mergeCell ref="M18:N18"/>
    <mergeCell ref="M19:N19"/>
    <mergeCell ref="Q18:R18"/>
    <mergeCell ref="S18:T18"/>
    <mergeCell ref="O19:P19"/>
    <mergeCell ref="Q19:R19"/>
    <mergeCell ref="O14:P14"/>
    <mergeCell ref="Q14:R14"/>
    <mergeCell ref="S14:T14"/>
    <mergeCell ref="O15:P15"/>
    <mergeCell ref="Q15:R15"/>
    <mergeCell ref="S15:T15"/>
    <mergeCell ref="O12:P12"/>
    <mergeCell ref="Q12:R12"/>
    <mergeCell ref="S12:T12"/>
    <mergeCell ref="O13:P13"/>
    <mergeCell ref="Q13:R13"/>
    <mergeCell ref="S13:T13"/>
    <mergeCell ref="Q9:R9"/>
    <mergeCell ref="S9:T9"/>
    <mergeCell ref="S10:T10"/>
    <mergeCell ref="O11:P11"/>
    <mergeCell ref="Q11:R11"/>
    <mergeCell ref="S11:T11"/>
    <mergeCell ref="O7:P7"/>
    <mergeCell ref="Q7:R7"/>
    <mergeCell ref="S7:T7"/>
    <mergeCell ref="O8:P8"/>
    <mergeCell ref="Q8:R8"/>
    <mergeCell ref="S8:T8"/>
    <mergeCell ref="O6:P6"/>
    <mergeCell ref="Q6:R6"/>
    <mergeCell ref="M11:N11"/>
    <mergeCell ref="M12:N12"/>
    <mergeCell ref="M13:N13"/>
    <mergeCell ref="M14:N14"/>
    <mergeCell ref="M15:N15"/>
    <mergeCell ref="M5:N5"/>
    <mergeCell ref="M6:N6"/>
    <mergeCell ref="M7:N7"/>
    <mergeCell ref="M8:N8"/>
    <mergeCell ref="M9:N9"/>
    <mergeCell ref="M10:N10"/>
    <mergeCell ref="O9:P9"/>
    <mergeCell ref="O5:P5"/>
    <mergeCell ref="Q5:R5"/>
    <mergeCell ref="O10:P10"/>
    <mergeCell ref="Q10:R10"/>
    <mergeCell ref="H14:I14"/>
    <mergeCell ref="H15:I15"/>
    <mergeCell ref="B13:C13"/>
    <mergeCell ref="B14:C14"/>
    <mergeCell ref="B15:C15"/>
    <mergeCell ref="B11:C11"/>
    <mergeCell ref="B12:C12"/>
    <mergeCell ref="B7:C7"/>
    <mergeCell ref="B8:C8"/>
    <mergeCell ref="B9:C9"/>
    <mergeCell ref="B10:C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기사정보등록2">
                <anchor moveWithCells="1" sizeWithCells="1">
                  <from>
                    <xdr:col>6</xdr:col>
                    <xdr:colOff>44450</xdr:colOff>
                    <xdr:row>6</xdr:row>
                    <xdr:rowOff>31750</xdr:rowOff>
                  </from>
                  <to>
                    <xdr:col>6</xdr:col>
                    <xdr:colOff>768350</xdr:colOff>
                    <xdr:row>14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고정일</vt:lpstr>
      <vt:lpstr>용차정보</vt:lpstr>
      <vt:lpstr>CJ군납</vt:lpstr>
      <vt:lpstr>지급대장</vt:lpstr>
      <vt:lpstr>기사정보관리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경현 김</dc:creator>
  <cp:lastModifiedBy>경현 김</cp:lastModifiedBy>
  <dcterms:created xsi:type="dcterms:W3CDTF">2026-05-02T07:36:00Z</dcterms:created>
  <dcterms:modified xsi:type="dcterms:W3CDTF">2026-05-13T03:24:40Z</dcterms:modified>
</cp:coreProperties>
</file>